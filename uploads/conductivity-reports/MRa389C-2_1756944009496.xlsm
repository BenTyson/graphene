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D600\Documents\N&amp;H\Curia\2025-03-05\"/>
    </mc:Choice>
  </mc:AlternateContent>
  <xr:revisionPtr revIDLastSave="0" documentId="8_{6B239FEE-216D-4B2C-ABCA-97D739CE04A5}" xr6:coauthVersionLast="47" xr6:coauthVersionMax="47" xr10:uidLastSave="{00000000-0000-0000-0000-000000000000}"/>
  <bookViews>
    <workbookView xWindow="3765" yWindow="3600" windowWidth="17955" windowHeight="10920" xr2:uid="{D8B0D114-B596-401C-A764-76D6AB154C2C}"/>
  </bookViews>
  <sheets>
    <sheet name="Results report(After corr.)" sheetId="3" r:id="rId1"/>
    <sheet name="Results report(Before corr.)" sheetId="1" r:id="rId2"/>
    <sheet name="Measurement condition" sheetId="2" r:id="rId3"/>
  </sheets>
  <functionGroups builtInGroupCount="19"/>
  <definedNames>
    <definedName name="_xlnm.Print_Area" localSheetId="0">'Results report(After corr.)'!$A$1:$N$42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7" i="3" l="1"/>
  <c r="F15" i="1"/>
  <c r="F15" i="3"/>
  <c r="G14" i="3"/>
  <c r="G13" i="3"/>
  <c r="G12" i="3"/>
  <c r="G14" i="1"/>
  <c r="G13" i="1"/>
  <c r="G12" i="1"/>
  <c r="K42" i="3"/>
  <c r="I42" i="3"/>
  <c r="J42" i="3" s="1"/>
  <c r="D42" i="3"/>
  <c r="K41" i="3"/>
  <c r="I41" i="3"/>
  <c r="J41" i="3" s="1"/>
  <c r="D41" i="3"/>
  <c r="K40" i="3"/>
  <c r="I40" i="3"/>
  <c r="J40" i="3" s="1"/>
  <c r="D40" i="3"/>
  <c r="K39" i="3"/>
  <c r="I39" i="3"/>
  <c r="J39" i="3" s="1"/>
  <c r="D39" i="3"/>
  <c r="K38" i="3"/>
  <c r="I38" i="3"/>
  <c r="J38" i="3" s="1"/>
  <c r="D38" i="3"/>
  <c r="K37" i="3"/>
  <c r="I37" i="3"/>
  <c r="J37" i="3" s="1"/>
  <c r="D37" i="3"/>
  <c r="K36" i="3"/>
  <c r="I36" i="3"/>
  <c r="J36" i="3" s="1"/>
  <c r="D36" i="3"/>
  <c r="K35" i="3"/>
  <c r="I35" i="3"/>
  <c r="J35" i="3" s="1"/>
  <c r="D35" i="3"/>
  <c r="K34" i="3"/>
  <c r="I34" i="3"/>
  <c r="J34" i="3" s="1"/>
  <c r="D34" i="3"/>
  <c r="K33" i="3"/>
  <c r="I33" i="3"/>
  <c r="J33" i="3" s="1"/>
  <c r="D33" i="3"/>
  <c r="K32" i="3"/>
  <c r="I32" i="3"/>
  <c r="J32" i="3" s="1"/>
  <c r="D32" i="3"/>
  <c r="K31" i="3"/>
  <c r="I31" i="3"/>
  <c r="J31" i="3" s="1"/>
  <c r="D31" i="3"/>
  <c r="K30" i="3"/>
  <c r="I30" i="3"/>
  <c r="J30" i="3" s="1"/>
  <c r="D30" i="3"/>
  <c r="K29" i="3"/>
  <c r="I29" i="3"/>
  <c r="J29" i="3" s="1"/>
  <c r="D29" i="3"/>
  <c r="K28" i="3"/>
  <c r="I28" i="3"/>
  <c r="J28" i="3" s="1"/>
  <c r="D28" i="3"/>
  <c r="K27" i="3"/>
  <c r="I27" i="3"/>
  <c r="J27" i="3" s="1"/>
  <c r="D27" i="3"/>
  <c r="K26" i="3"/>
  <c r="I26" i="3"/>
  <c r="J26" i="3" s="1"/>
  <c r="D26" i="3"/>
  <c r="K25" i="3"/>
  <c r="I25" i="3"/>
  <c r="J25" i="3" s="1"/>
  <c r="D25" i="3"/>
  <c r="K24" i="3"/>
  <c r="I24" i="3"/>
  <c r="J24" i="3" s="1"/>
  <c r="D24" i="3"/>
  <c r="K23" i="3"/>
  <c r="I23" i="3"/>
  <c r="J23" i="3" s="1"/>
  <c r="D23" i="3"/>
  <c r="G5" i="3"/>
  <c r="G6" i="3"/>
  <c r="G7" i="3"/>
  <c r="G8" i="3"/>
  <c r="G9" i="3"/>
  <c r="G10" i="3"/>
  <c r="F11" i="3"/>
  <c r="E19" i="3"/>
  <c r="G5" i="1"/>
  <c r="G6" i="1"/>
  <c r="G7" i="1"/>
  <c r="G8" i="1"/>
  <c r="G9" i="1"/>
  <c r="G10" i="1"/>
  <c r="F11" i="1"/>
  <c r="I17" i="1"/>
  <c r="E19" i="1"/>
  <c r="D23" i="1"/>
  <c r="I23" i="1"/>
  <c r="J23" i="1" s="1"/>
  <c r="K23" i="1"/>
  <c r="D24" i="1"/>
  <c r="I24" i="1"/>
  <c r="J24" i="1" s="1"/>
  <c r="K24" i="1"/>
  <c r="D25" i="1"/>
  <c r="I25" i="1"/>
  <c r="J25" i="1" s="1"/>
  <c r="K25" i="1"/>
  <c r="D26" i="1"/>
  <c r="I26" i="1"/>
  <c r="J26" i="1" s="1"/>
  <c r="K26" i="1"/>
  <c r="D27" i="1"/>
  <c r="I27" i="1"/>
  <c r="J27" i="1" s="1"/>
  <c r="K27" i="1"/>
  <c r="D28" i="1"/>
  <c r="I28" i="1"/>
  <c r="J28" i="1" s="1"/>
  <c r="K28" i="1"/>
  <c r="D29" i="1"/>
  <c r="I29" i="1"/>
  <c r="J29" i="1" s="1"/>
  <c r="K29" i="1"/>
  <c r="D30" i="1"/>
  <c r="I30" i="1"/>
  <c r="J30" i="1" s="1"/>
  <c r="K30" i="1"/>
  <c r="D31" i="1"/>
  <c r="I31" i="1"/>
  <c r="J31" i="1" s="1"/>
  <c r="K31" i="1"/>
  <c r="D32" i="1"/>
  <c r="I32" i="1"/>
  <c r="J32" i="1" s="1"/>
  <c r="K32" i="1"/>
  <c r="D33" i="1"/>
  <c r="I33" i="1"/>
  <c r="J33" i="1" s="1"/>
  <c r="K33" i="1"/>
  <c r="D34" i="1"/>
  <c r="I34" i="1"/>
  <c r="J34" i="1" s="1"/>
  <c r="K34" i="1"/>
  <c r="D35" i="1"/>
  <c r="I35" i="1"/>
  <c r="J35" i="1" s="1"/>
  <c r="K35" i="1"/>
  <c r="D36" i="1"/>
  <c r="I36" i="1"/>
  <c r="J36" i="1" s="1"/>
  <c r="K36" i="1"/>
  <c r="D37" i="1"/>
  <c r="I37" i="1"/>
  <c r="J37" i="1" s="1"/>
  <c r="K37" i="1"/>
  <c r="D38" i="1"/>
  <c r="I38" i="1"/>
  <c r="J38" i="1" s="1"/>
  <c r="K38" i="1"/>
  <c r="D39" i="1"/>
  <c r="I39" i="1"/>
  <c r="J39" i="1" s="1"/>
  <c r="K39" i="1"/>
  <c r="D40" i="1"/>
  <c r="I40" i="1"/>
  <c r="J40" i="1" s="1"/>
  <c r="K40" i="1"/>
  <c r="D41" i="1"/>
  <c r="I41" i="1"/>
  <c r="J41" i="1" s="1"/>
  <c r="K41" i="1"/>
  <c r="D42" i="1"/>
  <c r="I42" i="1"/>
  <c r="J42" i="1" s="1"/>
  <c r="K42" i="1"/>
  <c r="F27" i="1"/>
  <c r="F36" i="1"/>
  <c r="F23" i="1"/>
  <c r="F32" i="1"/>
  <c r="F25" i="1"/>
  <c r="F33" i="3"/>
  <c r="F24" i="3"/>
  <c r="F30" i="3"/>
  <c r="F27" i="3"/>
  <c r="F32" i="3"/>
  <c r="F41" i="3"/>
  <c r="F25" i="3"/>
  <c r="F35" i="3"/>
  <c r="F40" i="3"/>
  <c r="F37" i="1"/>
  <c r="F26" i="3"/>
  <c r="F31" i="3"/>
  <c r="F36" i="3"/>
  <c r="F28" i="1"/>
  <c r="F42" i="1"/>
  <c r="F24" i="1"/>
  <c r="F38" i="1"/>
  <c r="F41" i="1"/>
  <c r="F29" i="3"/>
  <c r="F42" i="3"/>
  <c r="F39" i="3"/>
  <c r="F23" i="3"/>
  <c r="F28" i="3"/>
  <c r="F39" i="1"/>
  <c r="F38" i="3"/>
  <c r="F26" i="1"/>
  <c r="F35" i="1"/>
  <c r="F40" i="1"/>
  <c r="F37" i="3"/>
  <c r="F33" i="1"/>
  <c r="F34" i="1"/>
  <c r="F29" i="1"/>
  <c r="F30" i="1"/>
  <c r="F31" i="1"/>
  <c r="F34" i="3"/>
</calcChain>
</file>

<file path=xl/sharedStrings.xml><?xml version="1.0" encoding="utf-8"?>
<sst xmlns="http://schemas.openxmlformats.org/spreadsheetml/2006/main" count="132" uniqueCount="71">
  <si>
    <t>(kN)</t>
    <phoneticPr fontId="1"/>
  </si>
  <si>
    <t>(MPa)</t>
    <phoneticPr fontId="1"/>
  </si>
  <si>
    <t>Auto range - Start range</t>
  </si>
  <si>
    <t>Sample radius</t>
  </si>
  <si>
    <t>Probe number</t>
  </si>
  <si>
    <t>Probe name</t>
  </si>
  <si>
    <t>Measurement date</t>
  </si>
  <si>
    <t>Measurement end time</t>
  </si>
  <si>
    <t>Sample name</t>
  </si>
  <si>
    <t>Voltage limiter</t>
  </si>
  <si>
    <t>Electrode distance</t>
  </si>
  <si>
    <t>Electrode radius</t>
  </si>
  <si>
    <t>Measurement condition</t>
    <phoneticPr fontId="1"/>
  </si>
  <si>
    <t>Start range</t>
  </si>
  <si>
    <t>Probe</t>
  </si>
  <si>
    <t>Sample weight</t>
    <phoneticPr fontId="1"/>
  </si>
  <si>
    <t>Results</t>
  </si>
  <si>
    <t>Load</t>
  </si>
  <si>
    <t>Pressure</t>
  </si>
  <si>
    <t>Thickness</t>
  </si>
  <si>
    <t>Resistance</t>
    <phoneticPr fontId="1"/>
  </si>
  <si>
    <t>(Ohm)</t>
    <phoneticPr fontId="1"/>
  </si>
  <si>
    <t>Volume resistivity</t>
    <phoneticPr fontId="1"/>
  </si>
  <si>
    <t>(Ohm-cm)</t>
    <phoneticPr fontId="1"/>
  </si>
  <si>
    <t>Conductivity</t>
  </si>
  <si>
    <t>(S/cm)</t>
    <phoneticPr fontId="1"/>
  </si>
  <si>
    <t>Density</t>
  </si>
  <si>
    <t>10EXP</t>
    <phoneticPr fontId="1"/>
  </si>
  <si>
    <t>V</t>
    <phoneticPr fontId="1"/>
  </si>
  <si>
    <t>mm</t>
    <phoneticPr fontId="1"/>
  </si>
  <si>
    <t>g</t>
    <phoneticPr fontId="1"/>
  </si>
  <si>
    <t>No.</t>
    <phoneticPr fontId="1"/>
  </si>
  <si>
    <t>RCF</t>
    <phoneticPr fontId="1"/>
  </si>
  <si>
    <t>(mm)</t>
    <phoneticPr fontId="1"/>
  </si>
  <si>
    <t>Ohm</t>
    <phoneticPr fontId="1"/>
  </si>
  <si>
    <t>Sample name</t>
    <phoneticPr fontId="1"/>
  </si>
  <si>
    <t>Slope</t>
  </si>
  <si>
    <t>(B)</t>
  </si>
  <si>
    <t>Intercept</t>
  </si>
  <si>
    <t>(C)</t>
  </si>
  <si>
    <t>kN</t>
  </si>
  <si>
    <t>s</t>
  </si>
  <si>
    <t>Speed table</t>
  </si>
  <si>
    <t>Speed change point</t>
  </si>
  <si>
    <t>(-)</t>
  </si>
  <si>
    <t>Holding time</t>
  </si>
  <si>
    <t>Thickness corr.</t>
  </si>
  <si>
    <t>Sample weight(g)</t>
  </si>
  <si>
    <t>Sample radius(mm)</t>
  </si>
  <si>
    <t>Start pressure(kN)</t>
  </si>
  <si>
    <t>End pressure(kN)</t>
  </si>
  <si>
    <t>Speed change point(kN)</t>
  </si>
  <si>
    <t>Holding time(s)</t>
  </si>
  <si>
    <t>Electrode distance(mm)</t>
  </si>
  <si>
    <t>Electrode radius(mm)</t>
  </si>
  <si>
    <t>Angle with a X axis(degrees)</t>
  </si>
  <si>
    <t>Center coordinate X(mm)</t>
  </si>
  <si>
    <t>Center coordinate Y(mm)</t>
  </si>
  <si>
    <t>Corrected</t>
  </si>
  <si>
    <t>Zero corr.</t>
  </si>
  <si>
    <t>(g/cm3)</t>
  </si>
  <si>
    <r>
      <t>Ver. 20</t>
    </r>
    <r>
      <rPr>
        <sz val="10"/>
        <rFont val="Arial"/>
        <family val="2"/>
      </rPr>
      <t>.1.</t>
    </r>
    <r>
      <rPr>
        <sz val="10"/>
        <rFont val="Arial"/>
        <family val="2"/>
      </rPr>
      <t>1</t>
    </r>
  </si>
  <si>
    <t>Automatic Powder Resistivity Analyzer (Loresta)</t>
  </si>
  <si>
    <t>-</t>
  </si>
  <si>
    <t>General</t>
  </si>
  <si>
    <t>20231011.tcn</t>
  </si>
  <si>
    <t>4-pin probe ɸ20</t>
  </si>
  <si>
    <t>05.03.2025</t>
  </si>
  <si>
    <t>14:08</t>
  </si>
  <si>
    <t>MRa389C_2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</si>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</sst>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84" formatCode="0_ "/>
    <numFmt numFmtId="185" formatCode="0.0_ "/>
    <numFmt numFmtId="186" formatCode="0.000_ "/>
    <numFmt numFmtId="187" formatCode="0.000E+00"/>
    <numFmt numFmtId="189" formatCode="0.00_ "/>
    <numFmt numFmtId="193" formatCode="0.00000_ "/>
  </numFmts>
  <fonts count="12">
    <font>
      <sz val="10"/>
      <name val="Arial"/>
      <family val="2"/>
    </font>
    <font>
      <sz val="6"/>
      <name val="ＭＳ Ｐゴシック"/>
      <family val="3"/>
      <charset val="128"/>
    </font>
    <font>
      <sz val="10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9"/>
      <color indexed="9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9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62"/>
        <bgColor indexed="64"/>
      </patternFill>
    </fill>
  </fills>
  <borders count="39">
    <border>
      <left/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/>
    <xf numFmtId="0" fontId="3" fillId="0" borderId="0" xfId="0" applyFont="1"/>
    <xf numFmtId="0" fontId="3" fillId="0" borderId="0" xfId="0" applyNumberFormat="1" applyFont="1"/>
    <xf numFmtId="0" fontId="4" fillId="0" borderId="0" xfId="0" applyFont="1" applyFill="1" applyAlignment="1"/>
    <xf numFmtId="0" fontId="4" fillId="0" borderId="0" xfId="0" applyFont="1" applyFill="1" applyAlignment="1">
      <alignment horizontal="center"/>
    </xf>
    <xf numFmtId="0" fontId="5" fillId="0" borderId="0" xfId="0" applyFont="1" applyFill="1" applyAlignment="1"/>
    <xf numFmtId="0" fontId="5" fillId="0" borderId="0" xfId="0" applyFont="1"/>
    <xf numFmtId="0" fontId="7" fillId="0" borderId="0" xfId="0" applyFont="1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wrapText="1"/>
    </xf>
    <xf numFmtId="0" fontId="3" fillId="2" borderId="3" xfId="0" applyFont="1" applyFill="1" applyBorder="1" applyAlignment="1"/>
    <xf numFmtId="0" fontId="3" fillId="2" borderId="4" xfId="0" applyFont="1" applyFill="1" applyBorder="1"/>
    <xf numFmtId="0" fontId="3" fillId="2" borderId="5" xfId="0" applyFont="1" applyFill="1" applyBorder="1"/>
    <xf numFmtId="0" fontId="3" fillId="0" borderId="4" xfId="0" applyFont="1" applyFill="1" applyBorder="1"/>
    <xf numFmtId="0" fontId="3" fillId="0" borderId="6" xfId="0" applyFont="1" applyFill="1" applyBorder="1"/>
    <xf numFmtId="0" fontId="3" fillId="0" borderId="6" xfId="0" applyFont="1" applyBorder="1" applyAlignment="1"/>
    <xf numFmtId="0" fontId="3" fillId="0" borderId="4" xfId="0" applyFont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0" borderId="0" xfId="0" applyFont="1" applyAlignment="1"/>
    <xf numFmtId="0" fontId="3" fillId="2" borderId="12" xfId="0" applyFont="1" applyFill="1" applyBorder="1"/>
    <xf numFmtId="0" fontId="3" fillId="2" borderId="13" xfId="0" applyFont="1" applyFill="1" applyBorder="1" applyAlignment="1"/>
    <xf numFmtId="0" fontId="3" fillId="2" borderId="14" xfId="0" applyFont="1" applyFill="1" applyBorder="1" applyAlignment="1"/>
    <xf numFmtId="0" fontId="3" fillId="0" borderId="13" xfId="0" applyFont="1" applyFill="1" applyBorder="1" applyAlignment="1"/>
    <xf numFmtId="49" fontId="3" fillId="0" borderId="14" xfId="0" applyNumberFormat="1" applyFont="1" applyBorder="1"/>
    <xf numFmtId="0" fontId="3" fillId="2" borderId="15" xfId="0" applyFont="1" applyFill="1" applyBorder="1"/>
    <xf numFmtId="0" fontId="3" fillId="2" borderId="16" xfId="0" applyFont="1" applyFill="1" applyBorder="1" applyAlignment="1"/>
    <xf numFmtId="0" fontId="3" fillId="2" borderId="17" xfId="0" applyFont="1" applyFill="1" applyBorder="1" applyAlignment="1"/>
    <xf numFmtId="0" fontId="3" fillId="0" borderId="16" xfId="0" applyFont="1" applyFill="1" applyBorder="1" applyAlignment="1"/>
    <xf numFmtId="49" fontId="3" fillId="0" borderId="17" xfId="0" applyNumberFormat="1" applyFont="1" applyBorder="1"/>
    <xf numFmtId="0" fontId="3" fillId="2" borderId="16" xfId="0" applyFont="1" applyFill="1" applyBorder="1" applyAlignment="1">
      <alignment horizontal="right"/>
    </xf>
    <xf numFmtId="0" fontId="3" fillId="2" borderId="18" xfId="0" applyFont="1" applyFill="1" applyBorder="1" applyAlignment="1"/>
    <xf numFmtId="0" fontId="3" fillId="2" borderId="19" xfId="0" applyFont="1" applyFill="1" applyBorder="1" applyAlignment="1"/>
    <xf numFmtId="0" fontId="3" fillId="2" borderId="20" xfId="0" applyFont="1" applyFill="1" applyBorder="1" applyAlignment="1"/>
    <xf numFmtId="49" fontId="3" fillId="0" borderId="20" xfId="0" applyNumberFormat="1" applyFont="1" applyBorder="1"/>
    <xf numFmtId="0" fontId="8" fillId="3" borderId="0" xfId="0" applyFont="1" applyFill="1" applyAlignment="1"/>
    <xf numFmtId="0" fontId="2" fillId="0" borderId="0" xfId="0" applyFont="1"/>
    <xf numFmtId="0" fontId="9" fillId="0" borderId="0" xfId="0" applyFont="1"/>
    <xf numFmtId="0" fontId="10" fillId="0" borderId="0" xfId="0" applyFont="1" applyFill="1" applyAlignment="1"/>
    <xf numFmtId="184" fontId="11" fillId="0" borderId="13" xfId="0" applyNumberFormat="1" applyFont="1" applyBorder="1"/>
    <xf numFmtId="184" fontId="11" fillId="0" borderId="16" xfId="0" applyNumberFormat="1" applyFont="1" applyBorder="1"/>
    <xf numFmtId="0" fontId="11" fillId="0" borderId="16" xfId="0" applyFont="1" applyBorder="1" applyAlignment="1">
      <alignment horizontal="center"/>
    </xf>
    <xf numFmtId="185" fontId="11" fillId="0" borderId="16" xfId="0" applyNumberFormat="1" applyFont="1" applyBorder="1"/>
    <xf numFmtId="184" fontId="11" fillId="0" borderId="21" xfId="0" applyNumberFormat="1" applyFont="1" applyFill="1" applyBorder="1" applyProtection="1">
      <protection locked="0"/>
    </xf>
    <xf numFmtId="189" fontId="11" fillId="0" borderId="22" xfId="0" applyNumberFormat="1" applyFont="1" applyBorder="1" applyProtection="1">
      <protection locked="0"/>
    </xf>
    <xf numFmtId="189" fontId="11" fillId="0" borderId="23" xfId="0" applyNumberFormat="1" applyFont="1" applyBorder="1"/>
    <xf numFmtId="186" fontId="11" fillId="0" borderId="22" xfId="0" applyNumberFormat="1" applyFont="1" applyBorder="1"/>
    <xf numFmtId="0" fontId="11" fillId="0" borderId="22" xfId="0" applyNumberFormat="1" applyFont="1" applyBorder="1" applyProtection="1">
      <protection locked="0"/>
    </xf>
    <xf numFmtId="187" fontId="11" fillId="0" borderId="22" xfId="0" applyNumberFormat="1" applyFont="1" applyBorder="1" applyProtection="1">
      <protection locked="0"/>
    </xf>
    <xf numFmtId="187" fontId="11" fillId="0" borderId="22" xfId="0" applyNumberFormat="1" applyFont="1" applyBorder="1"/>
    <xf numFmtId="187" fontId="11" fillId="0" borderId="24" xfId="0" applyNumberFormat="1" applyFont="1" applyBorder="1"/>
    <xf numFmtId="187" fontId="11" fillId="0" borderId="25" xfId="0" applyNumberFormat="1" applyFont="1" applyBorder="1"/>
    <xf numFmtId="189" fontId="11" fillId="0" borderId="26" xfId="0" applyNumberFormat="1" applyFont="1" applyBorder="1" applyProtection="1">
      <protection locked="0"/>
    </xf>
    <xf numFmtId="189" fontId="11" fillId="0" borderId="22" xfId="0" applyNumberFormat="1" applyFont="1" applyBorder="1"/>
    <xf numFmtId="187" fontId="11" fillId="0" borderId="26" xfId="0" applyNumberFormat="1" applyFont="1" applyBorder="1" applyProtection="1">
      <protection locked="0"/>
    </xf>
    <xf numFmtId="184" fontId="11" fillId="0" borderId="27" xfId="0" applyNumberFormat="1" applyFont="1" applyFill="1" applyBorder="1" applyProtection="1">
      <protection locked="0"/>
    </xf>
    <xf numFmtId="189" fontId="11" fillId="0" borderId="28" xfId="0" applyNumberFormat="1" applyFont="1" applyBorder="1" applyProtection="1">
      <protection locked="0"/>
    </xf>
    <xf numFmtId="189" fontId="11" fillId="0" borderId="28" xfId="0" applyNumberFormat="1" applyFont="1" applyBorder="1"/>
    <xf numFmtId="186" fontId="11" fillId="0" borderId="28" xfId="0" applyNumberFormat="1" applyFont="1" applyBorder="1"/>
    <xf numFmtId="0" fontId="11" fillId="0" borderId="28" xfId="0" applyNumberFormat="1" applyFont="1" applyBorder="1" applyProtection="1">
      <protection locked="0"/>
    </xf>
    <xf numFmtId="187" fontId="11" fillId="0" borderId="28" xfId="0" applyNumberFormat="1" applyFont="1" applyBorder="1" applyProtection="1">
      <protection locked="0"/>
    </xf>
    <xf numFmtId="187" fontId="11" fillId="0" borderId="28" xfId="0" applyNumberFormat="1" applyFont="1" applyBorder="1"/>
    <xf numFmtId="187" fontId="11" fillId="0" borderId="29" xfId="0" applyNumberFormat="1" applyFont="1" applyBorder="1"/>
    <xf numFmtId="187" fontId="11" fillId="0" borderId="30" xfId="0" applyNumberFormat="1" applyFont="1" applyBorder="1"/>
    <xf numFmtId="189" fontId="11" fillId="0" borderId="31" xfId="0" applyNumberFormat="1" applyFont="1" applyBorder="1" applyProtection="1">
      <protection locked="0"/>
    </xf>
    <xf numFmtId="189" fontId="11" fillId="0" borderId="32" xfId="0" applyNumberFormat="1" applyFont="1" applyBorder="1" applyProtection="1">
      <protection locked="0"/>
    </xf>
    <xf numFmtId="189" fontId="11" fillId="0" borderId="33" xfId="0" applyNumberFormat="1" applyFont="1" applyBorder="1" applyProtection="1">
      <protection locked="0"/>
    </xf>
    <xf numFmtId="49" fontId="3" fillId="0" borderId="0" xfId="0" applyNumberFormat="1" applyFont="1"/>
    <xf numFmtId="0" fontId="3" fillId="0" borderId="0" xfId="0" applyFont="1" applyBorder="1" applyAlignment="1"/>
    <xf numFmtId="0" fontId="3" fillId="0" borderId="34" xfId="0" applyFont="1" applyBorder="1" applyAlignment="1">
      <alignment horizontal="center"/>
    </xf>
    <xf numFmtId="0" fontId="3" fillId="2" borderId="35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11" fillId="0" borderId="22" xfId="0" applyNumberFormat="1" applyFont="1" applyBorder="1"/>
    <xf numFmtId="0" fontId="11" fillId="0" borderId="25" xfId="0" applyNumberFormat="1" applyFont="1" applyBorder="1"/>
    <xf numFmtId="0" fontId="11" fillId="0" borderId="28" xfId="0" applyNumberFormat="1" applyFont="1" applyBorder="1"/>
    <xf numFmtId="0" fontId="11" fillId="0" borderId="30" xfId="0" applyNumberFormat="1" applyFont="1" applyBorder="1"/>
    <xf numFmtId="186" fontId="11" fillId="0" borderId="19" xfId="0" applyNumberFormat="1" applyFont="1" applyBorder="1" applyAlignment="1">
      <alignment horizontal="center"/>
    </xf>
    <xf numFmtId="0" fontId="3" fillId="2" borderId="15" xfId="0" applyFont="1" applyFill="1" applyBorder="1" applyAlignment="1"/>
    <xf numFmtId="189" fontId="11" fillId="0" borderId="16" xfId="0" applyNumberFormat="1" applyFont="1" applyBorder="1"/>
    <xf numFmtId="0" fontId="0" fillId="0" borderId="0" xfId="0" applyFont="1" applyFill="1" applyAlignment="1">
      <alignment horizontal="center"/>
    </xf>
    <xf numFmtId="0" fontId="3" fillId="2" borderId="17" xfId="0" applyFont="1" applyFill="1" applyBorder="1" applyAlignment="1">
      <alignment horizontal="right"/>
    </xf>
    <xf numFmtId="0" fontId="11" fillId="0" borderId="19" xfId="0" applyFont="1" applyFill="1" applyBorder="1" applyAlignment="1"/>
    <xf numFmtId="0" fontId="3" fillId="2" borderId="36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wrapText="1"/>
    </xf>
    <xf numFmtId="0" fontId="11" fillId="0" borderId="24" xfId="0" applyNumberFormat="1" applyFont="1" applyBorder="1"/>
    <xf numFmtId="0" fontId="11" fillId="0" borderId="29" xfId="0" applyNumberFormat="1" applyFont="1" applyBorder="1"/>
    <xf numFmtId="0" fontId="3" fillId="2" borderId="1" xfId="0" applyFont="1" applyFill="1" applyBorder="1" applyAlignment="1">
      <alignment horizontal="center"/>
    </xf>
    <xf numFmtId="0" fontId="3" fillId="2" borderId="37" xfId="0" applyFont="1" applyFill="1" applyBorder="1" applyAlignment="1">
      <alignment horizontal="center"/>
    </xf>
    <xf numFmtId="0" fontId="3" fillId="2" borderId="36" xfId="0" applyFont="1" applyFill="1" applyBorder="1" applyAlignment="1">
      <alignment horizontal="center"/>
    </xf>
    <xf numFmtId="0" fontId="3" fillId="2" borderId="38" xfId="0" applyFont="1" applyFill="1" applyBorder="1" applyAlignment="1">
      <alignment horizontal="center"/>
    </xf>
    <xf numFmtId="0" fontId="11" fillId="0" borderId="3" xfId="0" applyFont="1" applyBorder="1" applyAlignment="1"/>
    <xf numFmtId="0" fontId="11" fillId="0" borderId="4" xfId="0" applyFont="1" applyBorder="1" applyAlignment="1"/>
    <xf numFmtId="0" fontId="11" fillId="0" borderId="5" xfId="0" applyFont="1" applyBorder="1" applyAlignment="1"/>
    <xf numFmtId="49" fontId="6" fillId="3" borderId="0" xfId="0" quotePrefix="1" applyNumberFormat="1" applyFont="1" applyFill="1" applyAlignment="1">
      <alignment horizontal="right"/>
    </xf>
    <xf numFmtId="49" fontId="0" fillId="0" borderId="0" xfId="0" applyNumberFormat="1" applyAlignment="1">
      <alignment horizontal="right"/>
    </xf>
    <xf numFmtId="193" fontId="11" fillId="0" borderId="15" xfId="0" applyNumberFormat="1" applyFont="1" applyBorder="1" applyAlignment="1"/>
    <xf numFmtId="0" fontId="0" fillId="0" borderId="16" xfId="0" applyBorder="1" applyAlignment="1"/>
    <xf numFmtId="49" fontId="6" fillId="3" borderId="0" xfId="0" applyNumberFormat="1" applyFont="1" applyFill="1" applyAlignment="1">
      <alignment horizontal="right"/>
    </xf>
  </cellXfs>
  <cellStyles count="1">
    <cellStyle name="Standard" xfId="0" builtinId="0"/>
  </cellStyles>
  <dxfs count="2"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>
                <a:latin typeface="Arial"/>
                <a:ea typeface="Arial"/>
                <a:cs typeface="Arial"/>
              </a:defRPr>
            </a:pPr>
            <a:r>
              <a:rPr lang="de-DE"/>
              <a:t>Pressure - Volume resistivity Graph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'Results report(After corr.)'!$D$23:$D$30</c:f>
              <c:numCache>
                <c:formatCode>0.00_ </c:formatCode>
                <c:ptCount val="8"/>
                <c:pt idx="0">
                  <c:v>3.1830988618379066</c:v>
                </c:pt>
                <c:pt idx="1">
                  <c:v>6.3661977236758132</c:v>
                </c:pt>
                <c:pt idx="2">
                  <c:v>9.5492965855137211</c:v>
                </c:pt>
                <c:pt idx="3">
                  <c:v>12.700564458733247</c:v>
                </c:pt>
                <c:pt idx="4">
                  <c:v>25.432959906084875</c:v>
                </c:pt>
                <c:pt idx="5">
                  <c:v>38.197186342054884</c:v>
                </c:pt>
                <c:pt idx="6">
                  <c:v>50.929581789406505</c:v>
                </c:pt>
                <c:pt idx="7">
                  <c:v>63.661977236758133</c:v>
                </c:pt>
              </c:numCache>
            </c:numRef>
          </c:xVal>
          <c:yVal>
            <c:numRef>
              <c:f>'Results report(After corr.)'!$I$23:$I$30</c:f>
              <c:numCache>
                <c:formatCode>0.000E+00</c:formatCode>
                <c:ptCount val="8"/>
                <c:pt idx="0">
                  <c:v>0.23866836303000005</c:v>
                </c:pt>
                <c:pt idx="1">
                  <c:v>0.16639242750000002</c:v>
                </c:pt>
                <c:pt idx="2">
                  <c:v>0.13531828605000001</c:v>
                </c:pt>
                <c:pt idx="3">
                  <c:v>0.11689404300000002</c:v>
                </c:pt>
                <c:pt idx="4">
                  <c:v>8.2127923439999986E-2</c:v>
                </c:pt>
                <c:pt idx="5">
                  <c:v>6.746161598E-2</c:v>
                </c:pt>
                <c:pt idx="6">
                  <c:v>5.8915602305999994E-2</c:v>
                </c:pt>
                <c:pt idx="7">
                  <c:v>5.3094750336000002E-2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31-4FFB-B3E1-50144BE1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2642496"/>
        <c:axId val="1162642976"/>
      </c:scatterChart>
      <c:valAx>
        <c:axId val="11626424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Pressure (MPa)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low"/>
        <c:crossAx val="1162642976"/>
        <c:crosses val="autoZero"/>
        <c:crossBetween val="midCat"/>
      </c:valAx>
      <c:valAx>
        <c:axId val="1162642976"/>
        <c:scaling>
          <c:logBase val="10"/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900"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Volume resistivity (Ohm-cm)</a:t>
                </a:r>
              </a:p>
            </c:rich>
          </c:tx>
          <c:overlay val="0"/>
        </c:title>
        <c:numFmt formatCode="0,000E+00" sourceLinked="0"/>
        <c:majorTickMark val="out"/>
        <c:minorTickMark val="none"/>
        <c:tickLblPos val="nextTo"/>
        <c:crossAx val="1162642496"/>
        <c:crosses val="autoZero"/>
        <c:crossBetween val="midCat"/>
      </c:valAx>
      <c:spPr>
        <a:ln>
          <a:solidFill>
            <a:srgbClr val="00000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>
                <a:latin typeface="Arial"/>
                <a:ea typeface="Arial"/>
                <a:cs typeface="Arial"/>
              </a:defRPr>
            </a:pPr>
            <a:r>
              <a:rPr lang="de-DE"/>
              <a:t>Pressure - Volume resistivity Graph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'Results report(Before corr.)'!$D$23:$D$30</c:f>
              <c:numCache>
                <c:formatCode>0.00_ </c:formatCode>
                <c:ptCount val="8"/>
                <c:pt idx="0">
                  <c:v>3.1830988618379066</c:v>
                </c:pt>
                <c:pt idx="1">
                  <c:v>6.3661977236758132</c:v>
                </c:pt>
                <c:pt idx="2">
                  <c:v>9.5492965855137211</c:v>
                </c:pt>
                <c:pt idx="3">
                  <c:v>12.700564458733247</c:v>
                </c:pt>
                <c:pt idx="4">
                  <c:v>25.432959906084875</c:v>
                </c:pt>
                <c:pt idx="5">
                  <c:v>38.197186342054884</c:v>
                </c:pt>
                <c:pt idx="6">
                  <c:v>50.929581789406505</c:v>
                </c:pt>
                <c:pt idx="7">
                  <c:v>63.661977236758133</c:v>
                </c:pt>
              </c:numCache>
            </c:numRef>
          </c:xVal>
          <c:yVal>
            <c:numRef>
              <c:f>'Results report(Before corr.)'!$I$23:$I$30</c:f>
              <c:numCache>
                <c:formatCode>0.000E+00</c:formatCode>
                <c:ptCount val="8"/>
                <c:pt idx="0">
                  <c:v>0.23795612070000002</c:v>
                </c:pt>
                <c:pt idx="1">
                  <c:v>0.165367818</c:v>
                </c:pt>
                <c:pt idx="2">
                  <c:v>0.13407835389999997</c:v>
                </c:pt>
                <c:pt idx="3">
                  <c:v>0.11547189050000001</c:v>
                </c:pt>
                <c:pt idx="4">
                  <c:v>7.990827264E-2</c:v>
                </c:pt>
                <c:pt idx="5">
                  <c:v>6.4506696320000001E-2</c:v>
                </c:pt>
                <c:pt idx="6">
                  <c:v>5.5227534870000011E-2</c:v>
                </c:pt>
                <c:pt idx="7">
                  <c:v>4.8676875200000004E-2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C3-47ED-AEDC-9D0805550A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2643936"/>
        <c:axId val="1162641536"/>
      </c:scatterChart>
      <c:valAx>
        <c:axId val="116264393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Pressure (MPa)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low"/>
        <c:crossAx val="1162641536"/>
        <c:crosses val="autoZero"/>
        <c:crossBetween val="midCat"/>
      </c:valAx>
      <c:valAx>
        <c:axId val="1162641536"/>
        <c:scaling>
          <c:logBase val="10"/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900"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Volume resistivity (Ohm-cm)</a:t>
                </a:r>
              </a:p>
            </c:rich>
          </c:tx>
          <c:overlay val="0"/>
        </c:title>
        <c:numFmt formatCode="0.000E+00" sourceLinked="0"/>
        <c:majorTickMark val="out"/>
        <c:minorTickMark val="none"/>
        <c:tickLblPos val="nextTo"/>
        <c:crossAx val="1162643936"/>
        <c:crosses val="autoZero"/>
        <c:crossBetween val="midCat"/>
      </c:valAx>
      <c:spPr>
        <a:ln>
          <a:solidFill>
            <a:srgbClr val="00000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42</xdr:row>
      <xdr:rowOff>85725</xdr:rowOff>
    </xdr:from>
    <xdr:to>
      <xdr:col>11</xdr:col>
      <xdr:colOff>34925</xdr:colOff>
      <xdr:row>65</xdr:row>
      <xdr:rowOff>73025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A0F9A8EC-5C0D-CC3E-D11E-3E7229B215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42</xdr:row>
      <xdr:rowOff>85725</xdr:rowOff>
    </xdr:from>
    <xdr:to>
      <xdr:col>11</xdr:col>
      <xdr:colOff>34925</xdr:colOff>
      <xdr:row>65</xdr:row>
      <xdr:rowOff>73025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C7FD10E7-000F-38C6-1870-91273041C8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A28B9-CB43-4C3D-85B5-AD0A852FFE9E}">
  <dimension ref="A1:N73"/>
  <sheetViews>
    <sheetView showGridLines="0" tabSelected="1" topLeftCell="A35" zoomScaleNormal="100" workbookViewId="0">
      <selection activeCell="E19" sqref="E19:N19"/>
    </sheetView>
  </sheetViews>
  <sheetFormatPr baseColWidth="10" defaultColWidth="9.140625" defaultRowHeight="12.75"/>
  <cols>
    <col min="1" max="1" width="1.7109375" style="7" customWidth="1"/>
    <col min="2" max="2" width="4.7109375" style="7" customWidth="1"/>
    <col min="3" max="6" width="8.7109375" style="7" customWidth="1"/>
    <col min="7" max="7" width="6.7109375" style="7" customWidth="1"/>
    <col min="8" max="9" width="9.7109375" style="7" customWidth="1"/>
    <col min="10" max="10" width="10.7109375" style="7" customWidth="1"/>
    <col min="11" max="14" width="9.7109375" style="7" customWidth="1"/>
    <col min="15" max="15" width="1.7109375" style="7" customWidth="1"/>
    <col min="16" max="16384" width="9.140625" style="7"/>
  </cols>
  <sheetData>
    <row r="1" spans="1:14" s="4" customFormat="1" ht="15">
      <c r="A1" s="42" t="s">
        <v>62</v>
      </c>
      <c r="B1" s="3"/>
      <c r="N1" s="83" t="s">
        <v>61</v>
      </c>
    </row>
    <row r="2" spans="1:14" s="6" customFormat="1" ht="15.95" customHeight="1"/>
    <row r="3" spans="1:14" s="41" customFormat="1">
      <c r="A3" s="40"/>
      <c r="B3" s="39" t="s">
        <v>12</v>
      </c>
      <c r="C3" s="39"/>
      <c r="D3" s="39"/>
      <c r="E3" s="39"/>
      <c r="F3" s="39"/>
      <c r="G3" s="39"/>
      <c r="H3" s="39"/>
    </row>
    <row r="4" spans="1:14" s="1" customFormat="1" ht="6" customHeight="1">
      <c r="C4" s="23"/>
      <c r="D4" s="23"/>
      <c r="E4" s="23"/>
      <c r="F4" s="23"/>
    </row>
    <row r="5" spans="1:14" s="1" customFormat="1" ht="12">
      <c r="B5" s="24" t="s">
        <v>13</v>
      </c>
      <c r="C5" s="25"/>
      <c r="D5" s="25"/>
      <c r="E5" s="26" t="s">
        <v>27</v>
      </c>
      <c r="F5" s="27"/>
      <c r="G5" s="43">
        <f>'Measurement condition'!B3</f>
        <v>-2</v>
      </c>
      <c r="H5" s="28" t="s">
        <v>34</v>
      </c>
    </row>
    <row r="6" spans="1:14" s="1" customFormat="1" ht="12">
      <c r="B6" s="29" t="s">
        <v>9</v>
      </c>
      <c r="C6" s="30"/>
      <c r="D6" s="30"/>
      <c r="E6" s="31"/>
      <c r="F6" s="32"/>
      <c r="G6" s="44" t="str">
        <f>'Measurement condition'!B4</f>
        <v>-</v>
      </c>
      <c r="H6" s="33" t="s">
        <v>28</v>
      </c>
    </row>
    <row r="7" spans="1:14" s="1" customFormat="1" ht="12">
      <c r="B7" s="29" t="s">
        <v>14</v>
      </c>
      <c r="C7" s="30"/>
      <c r="D7" s="30"/>
      <c r="E7" s="31"/>
      <c r="F7" s="32"/>
      <c r="G7" s="45" t="str">
        <f>'Measurement condition'!B16</f>
        <v>4-pin probe ɸ20</v>
      </c>
      <c r="H7" s="33"/>
    </row>
    <row r="8" spans="1:14" s="1" customFormat="1" ht="12">
      <c r="B8" s="29"/>
      <c r="C8" s="30" t="s">
        <v>10</v>
      </c>
      <c r="D8" s="34"/>
      <c r="E8" s="31"/>
      <c r="F8" s="32"/>
      <c r="G8" s="46">
        <f>'Measurement condition'!B17</f>
        <v>3</v>
      </c>
      <c r="H8" s="33" t="s">
        <v>29</v>
      </c>
    </row>
    <row r="9" spans="1:14" s="1" customFormat="1" ht="12">
      <c r="B9" s="29"/>
      <c r="C9" s="30" t="s">
        <v>11</v>
      </c>
      <c r="D9" s="34"/>
      <c r="E9" s="31"/>
      <c r="F9" s="32"/>
      <c r="G9" s="46">
        <f>'Measurement condition'!B18</f>
        <v>0.7</v>
      </c>
      <c r="H9" s="33" t="s">
        <v>29</v>
      </c>
    </row>
    <row r="10" spans="1:14" s="1" customFormat="1" ht="12">
      <c r="B10" s="29"/>
      <c r="C10" s="30" t="s">
        <v>3</v>
      </c>
      <c r="D10" s="34"/>
      <c r="E10" s="31"/>
      <c r="F10" s="32"/>
      <c r="G10" s="46">
        <f>'Measurement condition'!B6</f>
        <v>10</v>
      </c>
      <c r="H10" s="33" t="s">
        <v>29</v>
      </c>
    </row>
    <row r="11" spans="1:14" s="1" customFormat="1" ht="12" customHeight="1">
      <c r="B11" s="81" t="s">
        <v>15</v>
      </c>
      <c r="C11" s="30"/>
      <c r="D11" s="30"/>
      <c r="E11" s="31"/>
      <c r="F11" s="99">
        <f>'Measurement condition'!B5</f>
        <v>0.5</v>
      </c>
      <c r="G11" s="100"/>
      <c r="H11" s="33" t="s">
        <v>30</v>
      </c>
    </row>
    <row r="12" spans="1:14" s="1" customFormat="1" ht="12">
      <c r="B12" s="81" t="s">
        <v>42</v>
      </c>
      <c r="C12" s="30"/>
      <c r="D12" s="30"/>
      <c r="E12" s="31"/>
      <c r="F12" s="32"/>
      <c r="G12" s="44" t="str">
        <f>'Measurement condition'!B9</f>
        <v>General</v>
      </c>
      <c r="H12" s="33"/>
    </row>
    <row r="13" spans="1:14" s="1" customFormat="1" ht="12">
      <c r="B13" s="81" t="s">
        <v>43</v>
      </c>
      <c r="C13" s="30"/>
      <c r="D13" s="30"/>
      <c r="E13" s="84" t="s">
        <v>44</v>
      </c>
      <c r="F13" s="32"/>
      <c r="G13" s="82">
        <f>'Measurement condition'!B10</f>
        <v>0.05</v>
      </c>
      <c r="H13" s="33" t="s">
        <v>40</v>
      </c>
    </row>
    <row r="14" spans="1:14" s="1" customFormat="1" ht="12">
      <c r="B14" s="81" t="s">
        <v>45</v>
      </c>
      <c r="C14" s="30"/>
      <c r="D14" s="30"/>
      <c r="E14" s="31"/>
      <c r="F14" s="32"/>
      <c r="G14" s="44">
        <f>'Measurement condition'!B11</f>
        <v>30</v>
      </c>
      <c r="H14" s="33" t="s">
        <v>41</v>
      </c>
    </row>
    <row r="15" spans="1:14" s="1" customFormat="1" ht="12">
      <c r="B15" s="35" t="s">
        <v>46</v>
      </c>
      <c r="C15" s="36"/>
      <c r="D15" s="36"/>
      <c r="E15" s="37"/>
      <c r="F15" s="85" t="str">
        <f>'Measurement condition'!B12</f>
        <v>20231011.tcn</v>
      </c>
      <c r="G15" s="80"/>
      <c r="H15" s="38"/>
    </row>
    <row r="16" spans="1:14" s="1" customFormat="1" ht="12" customHeight="1"/>
    <row r="17" spans="1:14" s="41" customFormat="1">
      <c r="A17" s="40"/>
      <c r="B17" s="39" t="s">
        <v>16</v>
      </c>
      <c r="C17" s="39"/>
      <c r="D17" s="39"/>
      <c r="E17" s="39"/>
      <c r="F17" s="39"/>
      <c r="G17" s="39"/>
      <c r="H17" s="39"/>
      <c r="I17" s="39"/>
      <c r="J17" s="39"/>
      <c r="K17" s="39"/>
      <c r="L17" s="97" t="str">
        <f>'Measurement condition'!B23 &amp; " " &amp; 'Measurement condition'!B24</f>
        <v>05.03.2025 14:08</v>
      </c>
      <c r="M17" s="98"/>
      <c r="N17" s="98"/>
    </row>
    <row r="18" spans="1:14" s="1" customFormat="1" ht="6" customHeight="1"/>
    <row r="19" spans="1:14" s="1" customFormat="1" ht="12">
      <c r="B19" s="10" t="s">
        <v>35</v>
      </c>
      <c r="C19" s="11"/>
      <c r="D19" s="11"/>
      <c r="E19" s="94" t="str">
        <f>IF('Measurement condition'!B25="","",'Measurement condition'!B25)</f>
        <v>MRa389C_2</v>
      </c>
      <c r="F19" s="95"/>
      <c r="G19" s="95"/>
      <c r="H19" s="95"/>
      <c r="I19" s="95"/>
      <c r="J19" s="95"/>
      <c r="K19" s="95"/>
      <c r="L19" s="95"/>
      <c r="M19" s="95"/>
      <c r="N19" s="96"/>
    </row>
    <row r="20" spans="1:14" s="1" customFormat="1" ht="6" customHeight="1">
      <c r="B20" s="13"/>
      <c r="C20" s="14"/>
      <c r="D20" s="14"/>
      <c r="E20" s="72"/>
      <c r="F20" s="72"/>
      <c r="G20" s="72"/>
      <c r="H20" s="72"/>
      <c r="I20" s="72"/>
      <c r="J20" s="72"/>
      <c r="K20" s="73"/>
    </row>
    <row r="21" spans="1:14" s="1" customFormat="1" ht="24">
      <c r="B21" s="17" t="s">
        <v>31</v>
      </c>
      <c r="C21" s="18" t="s">
        <v>17</v>
      </c>
      <c r="D21" s="18" t="s">
        <v>18</v>
      </c>
      <c r="E21" s="9" t="s">
        <v>58</v>
      </c>
      <c r="F21" s="18" t="s">
        <v>32</v>
      </c>
      <c r="G21" s="90" t="s">
        <v>20</v>
      </c>
      <c r="H21" s="91"/>
      <c r="I21" s="9" t="s">
        <v>22</v>
      </c>
      <c r="J21" s="8" t="s">
        <v>24</v>
      </c>
      <c r="K21" s="8" t="s">
        <v>26</v>
      </c>
      <c r="L21" s="9" t="s">
        <v>36</v>
      </c>
      <c r="M21" s="8" t="s">
        <v>38</v>
      </c>
      <c r="N21" s="87" t="s">
        <v>59</v>
      </c>
    </row>
    <row r="22" spans="1:14" s="1" customFormat="1" ht="12">
      <c r="B22" s="20"/>
      <c r="C22" s="21" t="s">
        <v>0</v>
      </c>
      <c r="D22" s="21" t="s">
        <v>1</v>
      </c>
      <c r="E22" s="21" t="s">
        <v>33</v>
      </c>
      <c r="F22" s="21"/>
      <c r="G22" s="92" t="s">
        <v>21</v>
      </c>
      <c r="H22" s="93"/>
      <c r="I22" s="21" t="s">
        <v>23</v>
      </c>
      <c r="J22" s="21" t="s">
        <v>25</v>
      </c>
      <c r="K22" s="75" t="s">
        <v>60</v>
      </c>
      <c r="L22" s="21" t="s">
        <v>37</v>
      </c>
      <c r="M22" s="86" t="s">
        <v>39</v>
      </c>
      <c r="N22" s="74"/>
    </row>
    <row r="23" spans="1:14" s="1" customFormat="1" ht="12">
      <c r="B23" s="47">
        <v>1</v>
      </c>
      <c r="C23" s="48">
        <v>1</v>
      </c>
      <c r="D23" s="49">
        <f>IF(C23="","",((C23*1000)/(($G$10/1000)^2*PI()))/1000000)</f>
        <v>3.1830988618379066</v>
      </c>
      <c r="E23" s="68">
        <v>5.4790000000000001</v>
      </c>
      <c r="F23" s="50">
        <f t="shared" ref="F23:F42" si="0">users_rcf(E23)</f>
        <v>2.661</v>
      </c>
      <c r="G23" s="51" t="s">
        <v>70</v>
      </c>
      <c r="H23" s="52">
        <v>0.16370000000000001</v>
      </c>
      <c r="I23" s="53">
        <f>IF(OR(E23="",H23=""),"",H23*F23*E23*0.1)</f>
        <v>0.23866836303000005</v>
      </c>
      <c r="J23" s="54">
        <f t="shared" ref="J23:J42" si="1">IF(I23="","",1/I23)</f>
        <v>4.1899143535597227</v>
      </c>
      <c r="K23" s="54">
        <f t="shared" ref="K23:K42" si="2">IF(E23="","",$F$11/(($G$10/10)^2*PI()*(E23/10)))</f>
        <v>0.29048173588591958</v>
      </c>
      <c r="L23" s="76">
        <v>-1.33134412195952E-2</v>
      </c>
      <c r="M23" s="88">
        <v>-3.5850153572169703E-2</v>
      </c>
      <c r="N23" s="77">
        <v>0</v>
      </c>
    </row>
    <row r="24" spans="1:14" s="1" customFormat="1" ht="12">
      <c r="B24" s="47">
        <v>2</v>
      </c>
      <c r="C24" s="56">
        <v>2</v>
      </c>
      <c r="D24" s="57">
        <f>IF(C24="","",((C24*1000)/(($G$10/1000)^2*PI()))/1000000)</f>
        <v>6.3661977236758132</v>
      </c>
      <c r="E24" s="69">
        <v>4.6820000000000004</v>
      </c>
      <c r="F24" s="50">
        <f t="shared" si="0"/>
        <v>2.9249999999999998</v>
      </c>
      <c r="G24" s="51" t="s">
        <v>70</v>
      </c>
      <c r="H24" s="58">
        <v>0.1215</v>
      </c>
      <c r="I24" s="53">
        <f t="shared" ref="I24:I41" si="3">IF(OR(E24="",H24=""),"",H24*F24*E24*0.1)</f>
        <v>0.16639242750000002</v>
      </c>
      <c r="J24" s="54">
        <f t="shared" si="1"/>
        <v>6.009888881511749</v>
      </c>
      <c r="K24" s="54">
        <f t="shared" si="2"/>
        <v>0.33992939575372771</v>
      </c>
      <c r="L24" s="76">
        <v>-1.33134412195952E-2</v>
      </c>
      <c r="M24" s="88">
        <v>-3.5850153572169703E-2</v>
      </c>
      <c r="N24" s="77">
        <v>0</v>
      </c>
    </row>
    <row r="25" spans="1:14" s="1" customFormat="1" ht="12" customHeight="1">
      <c r="B25" s="47">
        <v>3</v>
      </c>
      <c r="C25" s="56">
        <v>3</v>
      </c>
      <c r="D25" s="57">
        <f t="shared" ref="D25:D40" si="4">IF(C25="","",((C25*1000)/(($G$10/1000)^2*PI()))/1000000)</f>
        <v>9.5492965855137211</v>
      </c>
      <c r="E25" s="69">
        <v>4.2850000000000001</v>
      </c>
      <c r="F25" s="50">
        <f t="shared" si="0"/>
        <v>3.0630000000000002</v>
      </c>
      <c r="G25" s="51" t="s">
        <v>70</v>
      </c>
      <c r="H25" s="58">
        <v>0.1031</v>
      </c>
      <c r="I25" s="53">
        <f t="shared" si="3"/>
        <v>0.13531828605000001</v>
      </c>
      <c r="J25" s="54">
        <f>IF(I25="","",1/I25)</f>
        <v>7.3899842304424448</v>
      </c>
      <c r="K25" s="54">
        <f t="shared" si="2"/>
        <v>0.37142343778738701</v>
      </c>
      <c r="L25" s="76">
        <v>-1.33134412195952E-2</v>
      </c>
      <c r="M25" s="88">
        <v>-3.5850153572169703E-2</v>
      </c>
      <c r="N25" s="77">
        <v>0</v>
      </c>
    </row>
    <row r="26" spans="1:14" s="1" customFormat="1" ht="12">
      <c r="B26" s="47">
        <v>4</v>
      </c>
      <c r="C26" s="56">
        <v>3.99</v>
      </c>
      <c r="D26" s="57">
        <f t="shared" si="4"/>
        <v>12.700564458733247</v>
      </c>
      <c r="E26" s="69">
        <v>4.0380000000000003</v>
      </c>
      <c r="F26" s="50">
        <f t="shared" si="0"/>
        <v>3.15</v>
      </c>
      <c r="G26" s="51" t="s">
        <v>70</v>
      </c>
      <c r="H26" s="58">
        <v>9.1899999999999996E-2</v>
      </c>
      <c r="I26" s="53">
        <f t="shared" si="3"/>
        <v>0.11689404300000002</v>
      </c>
      <c r="J26" s="54">
        <f>IF(I26="","",1/I26)</f>
        <v>8.554755865532</v>
      </c>
      <c r="K26" s="54">
        <f t="shared" si="2"/>
        <v>0.39414299923698692</v>
      </c>
      <c r="L26" s="76">
        <v>-1.33134412195952E-2</v>
      </c>
      <c r="M26" s="88">
        <v>-3.5850153572169703E-2</v>
      </c>
      <c r="N26" s="77">
        <v>0</v>
      </c>
    </row>
    <row r="27" spans="1:14" s="1" customFormat="1" ht="12">
      <c r="B27" s="47">
        <v>5</v>
      </c>
      <c r="C27" s="56">
        <v>7.99</v>
      </c>
      <c r="D27" s="57">
        <f t="shared" si="4"/>
        <v>25.432959906084875</v>
      </c>
      <c r="E27" s="69">
        <v>3.5019999999999998</v>
      </c>
      <c r="F27" s="50">
        <f t="shared" si="0"/>
        <v>3.335</v>
      </c>
      <c r="G27" s="51" t="s">
        <v>70</v>
      </c>
      <c r="H27" s="58">
        <v>7.0319999999999994E-2</v>
      </c>
      <c r="I27" s="53">
        <f t="shared" si="3"/>
        <v>8.2127923439999986E-2</v>
      </c>
      <c r="J27" s="54">
        <f>IF(I27="","",1/I27)</f>
        <v>12.176126682790997</v>
      </c>
      <c r="K27" s="54">
        <f t="shared" si="2"/>
        <v>0.45446871242688563</v>
      </c>
      <c r="L27" s="76">
        <v>-1.33134412195952E-2</v>
      </c>
      <c r="M27" s="88">
        <v>-3.5850153572169703E-2</v>
      </c>
      <c r="N27" s="77">
        <v>0</v>
      </c>
    </row>
    <row r="28" spans="1:14" s="1" customFormat="1" ht="12">
      <c r="B28" s="47">
        <v>6</v>
      </c>
      <c r="C28" s="56">
        <v>12</v>
      </c>
      <c r="D28" s="57">
        <f t="shared" si="4"/>
        <v>38.197186342054884</v>
      </c>
      <c r="E28" s="69">
        <v>3.2349999999999999</v>
      </c>
      <c r="F28" s="50">
        <f t="shared" si="0"/>
        <v>3.4220000000000002</v>
      </c>
      <c r="G28" s="51" t="s">
        <v>70</v>
      </c>
      <c r="H28" s="58">
        <v>6.0940000000000001E-2</v>
      </c>
      <c r="I28" s="53">
        <f t="shared" si="3"/>
        <v>6.746161598E-2</v>
      </c>
      <c r="J28" s="54">
        <f t="shared" si="1"/>
        <v>14.823244084405937</v>
      </c>
      <c r="K28" s="54">
        <f t="shared" si="2"/>
        <v>0.49197818575547242</v>
      </c>
      <c r="L28" s="76">
        <v>-1.33134412195952E-2</v>
      </c>
      <c r="M28" s="88">
        <v>-3.5850153572169703E-2</v>
      </c>
      <c r="N28" s="77">
        <v>0</v>
      </c>
    </row>
    <row r="29" spans="1:14" s="1" customFormat="1" ht="12">
      <c r="B29" s="47">
        <v>7</v>
      </c>
      <c r="C29" s="56">
        <v>16</v>
      </c>
      <c r="D29" s="57">
        <f t="shared" si="4"/>
        <v>50.929581789406505</v>
      </c>
      <c r="E29" s="69">
        <v>3.0579999999999998</v>
      </c>
      <c r="F29" s="50">
        <f t="shared" si="0"/>
        <v>3.4769999999999999</v>
      </c>
      <c r="G29" s="51" t="s">
        <v>70</v>
      </c>
      <c r="H29" s="58">
        <v>5.5410000000000001E-2</v>
      </c>
      <c r="I29" s="53">
        <f t="shared" si="3"/>
        <v>5.8915602305999994E-2</v>
      </c>
      <c r="J29" s="54">
        <f t="shared" si="1"/>
        <v>16.973432518030279</v>
      </c>
      <c r="K29" s="54">
        <f t="shared" si="2"/>
        <v>0.52045435935871598</v>
      </c>
      <c r="L29" s="76">
        <v>-1.33134412195952E-2</v>
      </c>
      <c r="M29" s="88">
        <v>-3.5850153572169703E-2</v>
      </c>
      <c r="N29" s="77">
        <v>0</v>
      </c>
    </row>
    <row r="30" spans="1:14" s="1" customFormat="1" ht="12">
      <c r="B30" s="47">
        <v>8</v>
      </c>
      <c r="C30" s="56">
        <v>20</v>
      </c>
      <c r="D30" s="57">
        <f t="shared" si="4"/>
        <v>63.661977236758133</v>
      </c>
      <c r="E30" s="69">
        <v>2.9220000000000002</v>
      </c>
      <c r="F30" s="50">
        <f t="shared" si="0"/>
        <v>3.516</v>
      </c>
      <c r="G30" s="51" t="s">
        <v>70</v>
      </c>
      <c r="H30" s="58">
        <v>5.1679999999999997E-2</v>
      </c>
      <c r="I30" s="53">
        <f t="shared" si="3"/>
        <v>5.3094750336000002E-2</v>
      </c>
      <c r="J30" s="54">
        <f t="shared" si="1"/>
        <v>18.834253738301634</v>
      </c>
      <c r="K30" s="54">
        <f t="shared" si="2"/>
        <v>0.54467810777513803</v>
      </c>
      <c r="L30" s="76">
        <v>-1.33134412195952E-2</v>
      </c>
      <c r="M30" s="88">
        <v>-3.5850153572169703E-2</v>
      </c>
      <c r="N30" s="77">
        <v>0</v>
      </c>
    </row>
    <row r="31" spans="1:14" s="1" customFormat="1" ht="12">
      <c r="B31" s="47"/>
      <c r="C31" s="56"/>
      <c r="D31" s="57" t="str">
        <f t="shared" si="4"/>
        <v/>
      </c>
      <c r="E31" s="69"/>
      <c r="F31" s="50" t="str">
        <f t="shared" si="0"/>
        <v/>
      </c>
      <c r="G31" s="51"/>
      <c r="H31" s="58"/>
      <c r="I31" s="53" t="str">
        <f t="shared" si="3"/>
        <v/>
      </c>
      <c r="J31" s="54" t="str">
        <f t="shared" si="1"/>
        <v/>
      </c>
      <c r="K31" s="54" t="str">
        <f t="shared" si="2"/>
        <v/>
      </c>
      <c r="L31" s="76"/>
      <c r="M31" s="88"/>
      <c r="N31" s="77"/>
    </row>
    <row r="32" spans="1:14" s="1" customFormat="1" ht="12">
      <c r="B32" s="47"/>
      <c r="C32" s="56"/>
      <c r="D32" s="57" t="str">
        <f t="shared" si="4"/>
        <v/>
      </c>
      <c r="E32" s="69"/>
      <c r="F32" s="50" t="str">
        <f t="shared" si="0"/>
        <v/>
      </c>
      <c r="G32" s="51"/>
      <c r="H32" s="58"/>
      <c r="I32" s="53" t="str">
        <f t="shared" si="3"/>
        <v/>
      </c>
      <c r="J32" s="54" t="str">
        <f t="shared" si="1"/>
        <v/>
      </c>
      <c r="K32" s="54" t="str">
        <f t="shared" si="2"/>
        <v/>
      </c>
      <c r="L32" s="76"/>
      <c r="M32" s="88"/>
      <c r="N32" s="77"/>
    </row>
    <row r="33" spans="2:14" s="1" customFormat="1" ht="12">
      <c r="B33" s="47"/>
      <c r="C33" s="56"/>
      <c r="D33" s="57" t="str">
        <f t="shared" si="4"/>
        <v/>
      </c>
      <c r="E33" s="69"/>
      <c r="F33" s="50" t="str">
        <f t="shared" si="0"/>
        <v/>
      </c>
      <c r="G33" s="51"/>
      <c r="H33" s="58"/>
      <c r="I33" s="53" t="str">
        <f t="shared" si="3"/>
        <v/>
      </c>
      <c r="J33" s="54" t="str">
        <f t="shared" si="1"/>
        <v/>
      </c>
      <c r="K33" s="54" t="str">
        <f t="shared" si="2"/>
        <v/>
      </c>
      <c r="L33" s="76"/>
      <c r="M33" s="88"/>
      <c r="N33" s="77"/>
    </row>
    <row r="34" spans="2:14" s="1" customFormat="1" ht="12">
      <c r="B34" s="47"/>
      <c r="C34" s="56"/>
      <c r="D34" s="57" t="str">
        <f t="shared" si="4"/>
        <v/>
      </c>
      <c r="E34" s="69"/>
      <c r="F34" s="50" t="str">
        <f t="shared" si="0"/>
        <v/>
      </c>
      <c r="G34" s="51"/>
      <c r="H34" s="58"/>
      <c r="I34" s="53" t="str">
        <f t="shared" si="3"/>
        <v/>
      </c>
      <c r="J34" s="54" t="str">
        <f t="shared" si="1"/>
        <v/>
      </c>
      <c r="K34" s="54" t="str">
        <f t="shared" si="2"/>
        <v/>
      </c>
      <c r="L34" s="76"/>
      <c r="M34" s="88"/>
      <c r="N34" s="77"/>
    </row>
    <row r="35" spans="2:14" s="1" customFormat="1" ht="12">
      <c r="B35" s="47"/>
      <c r="C35" s="56"/>
      <c r="D35" s="57" t="str">
        <f t="shared" si="4"/>
        <v/>
      </c>
      <c r="E35" s="69"/>
      <c r="F35" s="50" t="str">
        <f t="shared" si="0"/>
        <v/>
      </c>
      <c r="G35" s="51"/>
      <c r="H35" s="58"/>
      <c r="I35" s="53" t="str">
        <f t="shared" si="3"/>
        <v/>
      </c>
      <c r="J35" s="54" t="str">
        <f t="shared" si="1"/>
        <v/>
      </c>
      <c r="K35" s="54" t="str">
        <f t="shared" si="2"/>
        <v/>
      </c>
      <c r="L35" s="76"/>
      <c r="M35" s="88"/>
      <c r="N35" s="77"/>
    </row>
    <row r="36" spans="2:14" s="1" customFormat="1" ht="12">
      <c r="B36" s="47"/>
      <c r="C36" s="56"/>
      <c r="D36" s="57" t="str">
        <f t="shared" si="4"/>
        <v/>
      </c>
      <c r="E36" s="69"/>
      <c r="F36" s="50" t="str">
        <f t="shared" si="0"/>
        <v/>
      </c>
      <c r="G36" s="51"/>
      <c r="H36" s="58"/>
      <c r="I36" s="53" t="str">
        <f t="shared" si="3"/>
        <v/>
      </c>
      <c r="J36" s="54" t="str">
        <f t="shared" si="1"/>
        <v/>
      </c>
      <c r="K36" s="54" t="str">
        <f t="shared" si="2"/>
        <v/>
      </c>
      <c r="L36" s="76"/>
      <c r="M36" s="88"/>
      <c r="N36" s="77"/>
    </row>
    <row r="37" spans="2:14" s="1" customFormat="1" ht="12">
      <c r="B37" s="47"/>
      <c r="C37" s="56"/>
      <c r="D37" s="57" t="str">
        <f t="shared" si="4"/>
        <v/>
      </c>
      <c r="E37" s="69"/>
      <c r="F37" s="50" t="str">
        <f t="shared" si="0"/>
        <v/>
      </c>
      <c r="G37" s="51"/>
      <c r="H37" s="58"/>
      <c r="I37" s="53" t="str">
        <f t="shared" si="3"/>
        <v/>
      </c>
      <c r="J37" s="54" t="str">
        <f t="shared" si="1"/>
        <v/>
      </c>
      <c r="K37" s="54" t="str">
        <f t="shared" si="2"/>
        <v/>
      </c>
      <c r="L37" s="76"/>
      <c r="M37" s="88"/>
      <c r="N37" s="77"/>
    </row>
    <row r="38" spans="2:14" s="1" customFormat="1" ht="12">
      <c r="B38" s="47"/>
      <c r="C38" s="56"/>
      <c r="D38" s="57" t="str">
        <f t="shared" si="4"/>
        <v/>
      </c>
      <c r="E38" s="69"/>
      <c r="F38" s="50" t="str">
        <f t="shared" si="0"/>
        <v/>
      </c>
      <c r="G38" s="51"/>
      <c r="H38" s="58"/>
      <c r="I38" s="53" t="str">
        <f t="shared" si="3"/>
        <v/>
      </c>
      <c r="J38" s="54" t="str">
        <f t="shared" si="1"/>
        <v/>
      </c>
      <c r="K38" s="54" t="str">
        <f t="shared" si="2"/>
        <v/>
      </c>
      <c r="L38" s="76"/>
      <c r="M38" s="88"/>
      <c r="N38" s="77"/>
    </row>
    <row r="39" spans="2:14" s="1" customFormat="1" ht="12">
      <c r="B39" s="47"/>
      <c r="C39" s="56"/>
      <c r="D39" s="57" t="str">
        <f t="shared" si="4"/>
        <v/>
      </c>
      <c r="E39" s="69"/>
      <c r="F39" s="50" t="str">
        <f t="shared" si="0"/>
        <v/>
      </c>
      <c r="G39" s="51"/>
      <c r="H39" s="58"/>
      <c r="I39" s="53" t="str">
        <f t="shared" si="3"/>
        <v/>
      </c>
      <c r="J39" s="54" t="str">
        <f t="shared" si="1"/>
        <v/>
      </c>
      <c r="K39" s="54" t="str">
        <f t="shared" si="2"/>
        <v/>
      </c>
      <c r="L39" s="76"/>
      <c r="M39" s="88"/>
      <c r="N39" s="77"/>
    </row>
    <row r="40" spans="2:14" s="1" customFormat="1" ht="12">
      <c r="B40" s="47"/>
      <c r="C40" s="56"/>
      <c r="D40" s="57" t="str">
        <f t="shared" si="4"/>
        <v/>
      </c>
      <c r="E40" s="69"/>
      <c r="F40" s="50" t="str">
        <f t="shared" si="0"/>
        <v/>
      </c>
      <c r="G40" s="51"/>
      <c r="H40" s="58"/>
      <c r="I40" s="53" t="str">
        <f t="shared" si="3"/>
        <v/>
      </c>
      <c r="J40" s="54" t="str">
        <f t="shared" si="1"/>
        <v/>
      </c>
      <c r="K40" s="54" t="str">
        <f t="shared" si="2"/>
        <v/>
      </c>
      <c r="L40" s="76"/>
      <c r="M40" s="88"/>
      <c r="N40" s="77"/>
    </row>
    <row r="41" spans="2:14" s="1" customFormat="1" ht="12">
      <c r="B41" s="47"/>
      <c r="C41" s="56"/>
      <c r="D41" s="57" t="str">
        <f>IF(C41="","",((C41*1000)/(($G$10/1000)^2*PI()))/1000000)</f>
        <v/>
      </c>
      <c r="E41" s="69"/>
      <c r="F41" s="50" t="str">
        <f t="shared" si="0"/>
        <v/>
      </c>
      <c r="G41" s="51"/>
      <c r="H41" s="58"/>
      <c r="I41" s="53" t="str">
        <f t="shared" si="3"/>
        <v/>
      </c>
      <c r="J41" s="54" t="str">
        <f t="shared" si="1"/>
        <v/>
      </c>
      <c r="K41" s="54" t="str">
        <f t="shared" si="2"/>
        <v/>
      </c>
      <c r="L41" s="76"/>
      <c r="M41" s="88"/>
      <c r="N41" s="77"/>
    </row>
    <row r="42" spans="2:14" s="1" customFormat="1" ht="12">
      <c r="B42" s="59"/>
      <c r="C42" s="60"/>
      <c r="D42" s="61" t="str">
        <f>IF(C42="","",((C42*1000)/(($G$10/1000)^2*PI()))/1000000)</f>
        <v/>
      </c>
      <c r="E42" s="70"/>
      <c r="F42" s="62" t="str">
        <f t="shared" si="0"/>
        <v/>
      </c>
      <c r="G42" s="63"/>
      <c r="H42" s="64"/>
      <c r="I42" s="65" t="str">
        <f>IF(OR(E42="",H42=""),"",H42*F42*E42*0.1)</f>
        <v/>
      </c>
      <c r="J42" s="66" t="str">
        <f t="shared" si="1"/>
        <v/>
      </c>
      <c r="K42" s="66" t="str">
        <f t="shared" si="2"/>
        <v/>
      </c>
      <c r="L42" s="78"/>
      <c r="M42" s="89"/>
      <c r="N42" s="79"/>
    </row>
    <row r="43" spans="2:14" s="1" customFormat="1" ht="12"/>
    <row r="44" spans="2:14" s="1" customFormat="1" ht="12"/>
    <row r="45" spans="2:14" s="1" customFormat="1" ht="12"/>
    <row r="46" spans="2:14" s="1" customFormat="1" ht="12"/>
    <row r="47" spans="2:14" s="1" customFormat="1" ht="12"/>
    <row r="48" spans="2:14" s="1" customFormat="1" ht="12"/>
    <row r="49" s="1" customFormat="1" ht="12"/>
    <row r="50" s="1" customFormat="1" ht="12"/>
    <row r="51" s="1" customFormat="1" ht="12"/>
    <row r="52" s="1" customFormat="1" ht="12"/>
    <row r="53" s="1" customFormat="1" ht="12"/>
    <row r="54" s="1" customFormat="1" ht="12"/>
    <row r="55" s="1" customFormat="1" ht="12"/>
    <row r="56" s="1" customFormat="1" ht="12"/>
    <row r="57" s="1" customFormat="1" ht="12"/>
    <row r="58" s="1" customFormat="1" ht="12"/>
    <row r="59" s="1" customFormat="1" ht="12"/>
    <row r="60" s="1" customFormat="1" ht="12"/>
    <row r="61" s="1" customFormat="1" ht="12"/>
    <row r="62" s="1" customFormat="1" ht="12"/>
    <row r="63" s="1" customFormat="1" ht="12"/>
    <row r="64" s="1" customFormat="1" ht="12"/>
    <row r="65" s="1" customFormat="1" ht="12"/>
    <row r="66" s="1" customFormat="1" ht="12"/>
    <row r="67" s="1" customFormat="1" ht="12"/>
    <row r="68" s="1" customFormat="1" ht="12"/>
    <row r="69" s="1" customFormat="1" ht="12"/>
    <row r="70" s="1" customFormat="1" ht="12"/>
    <row r="71" s="1" customFormat="1" ht="12"/>
    <row r="72" s="1" customFormat="1" ht="12"/>
    <row r="73" s="1" customFormat="1" ht="12"/>
  </sheetData>
  <mergeCells count="5">
    <mergeCell ref="G21:H21"/>
    <mergeCell ref="G22:H22"/>
    <mergeCell ref="E19:N19"/>
    <mergeCell ref="L17:N17"/>
    <mergeCell ref="F11:G11"/>
  </mergeCells>
  <phoneticPr fontId="0" type="noConversion"/>
  <conditionalFormatting sqref="G23:G42">
    <cfRule type="cellIs" dxfId="1" priority="1" stopIfTrue="1" operator="notEqual">
      <formula>"OK"</formula>
    </cfRule>
  </conditionalFormatting>
  <pageMargins left="0.75" right="0.75" top="1" bottom="1" header="0.5" footer="0.5"/>
  <pageSetup paperSize="9" scale="80" orientation="portrait" horizontalDpi="4294967293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B8801-C3F5-4F52-9F12-3694416B3278}">
  <sheetPr codeName="shtMain"/>
  <dimension ref="A1:Q73"/>
  <sheetViews>
    <sheetView showGridLines="0" zoomScaleNormal="100" workbookViewId="0">
      <selection activeCell="E19" sqref="E19:K19"/>
    </sheetView>
  </sheetViews>
  <sheetFormatPr baseColWidth="10" defaultColWidth="9.140625" defaultRowHeight="12.75"/>
  <cols>
    <col min="1" max="1" width="1.7109375" style="7" customWidth="1"/>
    <col min="2" max="2" width="4.7109375" style="7" customWidth="1"/>
    <col min="3" max="6" width="8.7109375" style="7" customWidth="1"/>
    <col min="7" max="7" width="6.7109375" style="7" customWidth="1"/>
    <col min="8" max="9" width="9.7109375" style="7" customWidth="1"/>
    <col min="10" max="10" width="10.7109375" style="7" customWidth="1"/>
    <col min="11" max="11" width="9.7109375" style="7" customWidth="1"/>
    <col min="12" max="12" width="1.7109375" style="7" customWidth="1"/>
    <col min="13" max="16384" width="9.140625" style="7"/>
  </cols>
  <sheetData>
    <row r="1" spans="1:17" s="4" customFormat="1" ht="15">
      <c r="A1" s="42" t="s">
        <v>62</v>
      </c>
      <c r="B1" s="3"/>
      <c r="K1" s="83" t="s">
        <v>61</v>
      </c>
      <c r="Q1" s="5"/>
    </row>
    <row r="2" spans="1:17" s="6" customFormat="1" ht="15.95" customHeight="1"/>
    <row r="3" spans="1:17" s="41" customFormat="1">
      <c r="A3" s="40"/>
      <c r="B3" s="39" t="s">
        <v>12</v>
      </c>
      <c r="C3" s="39"/>
      <c r="D3" s="39"/>
      <c r="E3" s="39"/>
      <c r="F3" s="39"/>
      <c r="G3" s="39"/>
      <c r="H3" s="39"/>
    </row>
    <row r="4" spans="1:17" s="1" customFormat="1" ht="6" customHeight="1">
      <c r="C4" s="23"/>
      <c r="D4" s="23"/>
      <c r="E4" s="23"/>
      <c r="F4" s="23"/>
    </row>
    <row r="5" spans="1:17" s="1" customFormat="1" ht="12">
      <c r="B5" s="24" t="s">
        <v>13</v>
      </c>
      <c r="C5" s="25"/>
      <c r="D5" s="25"/>
      <c r="E5" s="26" t="s">
        <v>27</v>
      </c>
      <c r="F5" s="27"/>
      <c r="G5" s="43">
        <f>'Measurement condition'!B3</f>
        <v>-2</v>
      </c>
      <c r="H5" s="28" t="s">
        <v>34</v>
      </c>
    </row>
    <row r="6" spans="1:17" s="1" customFormat="1" ht="12">
      <c r="B6" s="29" t="s">
        <v>9</v>
      </c>
      <c r="C6" s="30"/>
      <c r="D6" s="30"/>
      <c r="E6" s="31"/>
      <c r="F6" s="32"/>
      <c r="G6" s="44" t="str">
        <f>'Measurement condition'!B4</f>
        <v>-</v>
      </c>
      <c r="H6" s="33" t="s">
        <v>28</v>
      </c>
    </row>
    <row r="7" spans="1:17" s="1" customFormat="1" ht="12">
      <c r="B7" s="29" t="s">
        <v>14</v>
      </c>
      <c r="C7" s="30"/>
      <c r="D7" s="30"/>
      <c r="E7" s="31"/>
      <c r="F7" s="32"/>
      <c r="G7" s="45" t="str">
        <f>'Measurement condition'!B16</f>
        <v>4-pin probe ɸ20</v>
      </c>
      <c r="H7" s="33"/>
    </row>
    <row r="8" spans="1:17" s="1" customFormat="1" ht="12">
      <c r="B8" s="29"/>
      <c r="C8" s="30" t="s">
        <v>10</v>
      </c>
      <c r="D8" s="34"/>
      <c r="E8" s="31"/>
      <c r="F8" s="32"/>
      <c r="G8" s="46">
        <f>'Measurement condition'!B17</f>
        <v>3</v>
      </c>
      <c r="H8" s="33" t="s">
        <v>29</v>
      </c>
    </row>
    <row r="9" spans="1:17" s="1" customFormat="1" ht="12">
      <c r="B9" s="29"/>
      <c r="C9" s="30" t="s">
        <v>11</v>
      </c>
      <c r="D9" s="34"/>
      <c r="E9" s="31"/>
      <c r="F9" s="32"/>
      <c r="G9" s="46">
        <f>'Measurement condition'!B18</f>
        <v>0.7</v>
      </c>
      <c r="H9" s="33" t="s">
        <v>29</v>
      </c>
    </row>
    <row r="10" spans="1:17" s="1" customFormat="1" ht="12">
      <c r="B10" s="29"/>
      <c r="C10" s="30" t="s">
        <v>3</v>
      </c>
      <c r="D10" s="34"/>
      <c r="E10" s="31"/>
      <c r="F10" s="32"/>
      <c r="G10" s="46">
        <f>'Measurement condition'!B6</f>
        <v>10</v>
      </c>
      <c r="H10" s="33" t="s">
        <v>29</v>
      </c>
    </row>
    <row r="11" spans="1:17" s="1" customFormat="1" ht="12" customHeight="1">
      <c r="B11" s="81" t="s">
        <v>15</v>
      </c>
      <c r="C11" s="30"/>
      <c r="D11" s="30"/>
      <c r="E11" s="31"/>
      <c r="F11" s="99">
        <f>'Measurement condition'!B5</f>
        <v>0.5</v>
      </c>
      <c r="G11" s="100"/>
      <c r="H11" s="33" t="s">
        <v>30</v>
      </c>
    </row>
    <row r="12" spans="1:17" s="1" customFormat="1" ht="12">
      <c r="B12" s="81" t="s">
        <v>42</v>
      </c>
      <c r="C12" s="30"/>
      <c r="D12" s="30"/>
      <c r="E12" s="31"/>
      <c r="F12" s="32"/>
      <c r="G12" s="44" t="str">
        <f>'Measurement condition'!B9</f>
        <v>General</v>
      </c>
      <c r="H12" s="33"/>
    </row>
    <row r="13" spans="1:17" s="1" customFormat="1" ht="12">
      <c r="B13" s="81" t="s">
        <v>43</v>
      </c>
      <c r="C13" s="30"/>
      <c r="D13" s="30"/>
      <c r="E13" s="84" t="s">
        <v>44</v>
      </c>
      <c r="F13" s="32"/>
      <c r="G13" s="82">
        <f>'Measurement condition'!B10</f>
        <v>0.05</v>
      </c>
      <c r="H13" s="33" t="s">
        <v>40</v>
      </c>
    </row>
    <row r="14" spans="1:17" s="1" customFormat="1" ht="12">
      <c r="B14" s="81" t="s">
        <v>45</v>
      </c>
      <c r="C14" s="30"/>
      <c r="D14" s="30"/>
      <c r="E14" s="31"/>
      <c r="F14" s="32"/>
      <c r="G14" s="44">
        <f>'Measurement condition'!B11</f>
        <v>30</v>
      </c>
      <c r="H14" s="33" t="s">
        <v>41</v>
      </c>
    </row>
    <row r="15" spans="1:17" s="1" customFormat="1" ht="12">
      <c r="B15" s="35" t="s">
        <v>46</v>
      </c>
      <c r="C15" s="36"/>
      <c r="D15" s="36"/>
      <c r="E15" s="37"/>
      <c r="F15" s="85" t="str">
        <f>'Measurement condition'!B12</f>
        <v>20231011.tcn</v>
      </c>
      <c r="G15" s="80"/>
      <c r="H15" s="38"/>
    </row>
    <row r="16" spans="1:17" s="1" customFormat="1" ht="12" customHeight="1"/>
    <row r="17" spans="1:11" s="41" customFormat="1">
      <c r="A17" s="40"/>
      <c r="B17" s="39" t="s">
        <v>16</v>
      </c>
      <c r="C17" s="39"/>
      <c r="D17" s="39"/>
      <c r="E17" s="39"/>
      <c r="F17" s="39"/>
      <c r="G17" s="39"/>
      <c r="H17" s="39"/>
      <c r="I17" s="101" t="str">
        <f>'Measurement condition'!B23 &amp; " " &amp; 'Measurement condition'!B24</f>
        <v>05.03.2025 14:08</v>
      </c>
      <c r="J17" s="98"/>
      <c r="K17" s="98"/>
    </row>
    <row r="18" spans="1:11" s="1" customFormat="1" ht="6" customHeight="1"/>
    <row r="19" spans="1:11" s="1" customFormat="1" ht="12">
      <c r="B19" s="10" t="s">
        <v>35</v>
      </c>
      <c r="C19" s="11"/>
      <c r="D19" s="12"/>
      <c r="E19" s="94" t="str">
        <f>IF('Measurement condition'!B25="","",'Measurement condition'!B25)</f>
        <v>MRa389C_2</v>
      </c>
      <c r="F19" s="95"/>
      <c r="G19" s="95"/>
      <c r="H19" s="95"/>
      <c r="I19" s="95"/>
      <c r="J19" s="95"/>
      <c r="K19" s="96"/>
    </row>
    <row r="20" spans="1:11" s="1" customFormat="1" ht="6" customHeight="1">
      <c r="B20" s="13"/>
      <c r="C20" s="14"/>
      <c r="D20" s="14"/>
      <c r="E20" s="15"/>
      <c r="F20" s="15"/>
      <c r="G20" s="15"/>
      <c r="H20" s="15"/>
      <c r="I20" s="15"/>
      <c r="J20" s="15"/>
      <c r="K20" s="16"/>
    </row>
    <row r="21" spans="1:11" s="1" customFormat="1" ht="24">
      <c r="B21" s="17" t="s">
        <v>31</v>
      </c>
      <c r="C21" s="18" t="s">
        <v>17</v>
      </c>
      <c r="D21" s="18" t="s">
        <v>18</v>
      </c>
      <c r="E21" s="18" t="s">
        <v>19</v>
      </c>
      <c r="F21" s="18" t="s">
        <v>32</v>
      </c>
      <c r="G21" s="90" t="s">
        <v>20</v>
      </c>
      <c r="H21" s="91"/>
      <c r="I21" s="9" t="s">
        <v>22</v>
      </c>
      <c r="J21" s="8" t="s">
        <v>24</v>
      </c>
      <c r="K21" s="19" t="s">
        <v>26</v>
      </c>
    </row>
    <row r="22" spans="1:11" s="1" customFormat="1" ht="12">
      <c r="B22" s="20"/>
      <c r="C22" s="21" t="s">
        <v>0</v>
      </c>
      <c r="D22" s="21" t="s">
        <v>1</v>
      </c>
      <c r="E22" s="21" t="s">
        <v>33</v>
      </c>
      <c r="F22" s="21"/>
      <c r="G22" s="92" t="s">
        <v>21</v>
      </c>
      <c r="H22" s="93"/>
      <c r="I22" s="21" t="s">
        <v>23</v>
      </c>
      <c r="J22" s="21" t="s">
        <v>25</v>
      </c>
      <c r="K22" s="22" t="s">
        <v>60</v>
      </c>
    </row>
    <row r="23" spans="1:11" s="1" customFormat="1" ht="12">
      <c r="B23" s="47">
        <v>1</v>
      </c>
      <c r="C23" s="48">
        <v>1</v>
      </c>
      <c r="D23" s="49">
        <f>IF(C23="","",((C23*1000)/(($G$10/1000)^2*PI()))/1000000)</f>
        <v>3.1830988618379066</v>
      </c>
      <c r="E23" s="68">
        <v>5.43</v>
      </c>
      <c r="F23" s="50">
        <f t="shared" ref="F23:F42" si="0">users_rcf(E23)</f>
        <v>2.677</v>
      </c>
      <c r="G23" s="51" t="s">
        <v>70</v>
      </c>
      <c r="H23" s="52">
        <v>0.16370000000000001</v>
      </c>
      <c r="I23" s="53">
        <f>IF(OR(E23="",H23=""),"",H23*F23*E23*0.1)</f>
        <v>0.23795612070000002</v>
      </c>
      <c r="J23" s="54">
        <f t="shared" ref="J23:J42" si="1">IF(I23="","",1/I23)</f>
        <v>4.2024554655634878</v>
      </c>
      <c r="K23" s="55">
        <f t="shared" ref="K23:K42" si="2">IF(E23="","",$F$11/(($G$10/10)^2*PI()*(E23/10)))</f>
        <v>0.29310302595192517</v>
      </c>
    </row>
    <row r="24" spans="1:11" s="1" customFormat="1" ht="12">
      <c r="B24" s="47">
        <v>2</v>
      </c>
      <c r="C24" s="56">
        <v>2</v>
      </c>
      <c r="D24" s="57">
        <f>IF(C24="","",((C24*1000)/(($G$10/1000)^2*PI()))/1000000)</f>
        <v>6.3661977236758132</v>
      </c>
      <c r="E24" s="69">
        <v>4.62</v>
      </c>
      <c r="F24" s="50">
        <f t="shared" si="0"/>
        <v>2.9460000000000002</v>
      </c>
      <c r="G24" s="51" t="s">
        <v>70</v>
      </c>
      <c r="H24" s="58">
        <v>0.1215</v>
      </c>
      <c r="I24" s="53">
        <f t="shared" ref="I24:I41" si="3">IF(OR(E24="",H24=""),"",H24*F24*E24*0.1)</f>
        <v>0.165367818</v>
      </c>
      <c r="J24" s="54">
        <f t="shared" si="1"/>
        <v>6.0471258077554122</v>
      </c>
      <c r="K24" s="55">
        <f t="shared" si="2"/>
        <v>0.34449121881362627</v>
      </c>
    </row>
    <row r="25" spans="1:11" s="1" customFormat="1" ht="12" customHeight="1">
      <c r="B25" s="47">
        <v>3</v>
      </c>
      <c r="C25" s="56">
        <v>3</v>
      </c>
      <c r="D25" s="57">
        <f t="shared" ref="D25:D40" si="4">IF(C25="","",((C25*1000)/(($G$10/1000)^2*PI()))/1000000)</f>
        <v>9.5492965855137211</v>
      </c>
      <c r="E25" s="69">
        <v>4.21</v>
      </c>
      <c r="F25" s="50">
        <f t="shared" si="0"/>
        <v>3.089</v>
      </c>
      <c r="G25" s="51" t="s">
        <v>70</v>
      </c>
      <c r="H25" s="58">
        <v>0.1031</v>
      </c>
      <c r="I25" s="53">
        <f t="shared" si="3"/>
        <v>0.13407835389999997</v>
      </c>
      <c r="J25" s="54">
        <f>IF(I25="","",1/I25)</f>
        <v>7.4583254560675227</v>
      </c>
      <c r="K25" s="55">
        <f t="shared" si="2"/>
        <v>0.37804024487386068</v>
      </c>
    </row>
    <row r="26" spans="1:11" s="1" customFormat="1" ht="12">
      <c r="B26" s="47">
        <v>4</v>
      </c>
      <c r="C26" s="56">
        <v>3.99</v>
      </c>
      <c r="D26" s="57">
        <f t="shared" si="4"/>
        <v>12.700564458733247</v>
      </c>
      <c r="E26" s="69">
        <v>3.95</v>
      </c>
      <c r="F26" s="50">
        <f t="shared" si="0"/>
        <v>3.181</v>
      </c>
      <c r="G26" s="51" t="s">
        <v>70</v>
      </c>
      <c r="H26" s="58">
        <v>9.1899999999999996E-2</v>
      </c>
      <c r="I26" s="53">
        <f t="shared" si="3"/>
        <v>0.11547189050000001</v>
      </c>
      <c r="J26" s="54">
        <f>IF(I26="","",1/I26)</f>
        <v>8.6601162903797775</v>
      </c>
      <c r="K26" s="55">
        <f t="shared" si="2"/>
        <v>0.4029239065617603</v>
      </c>
    </row>
    <row r="27" spans="1:11" s="1" customFormat="1" ht="12">
      <c r="B27" s="47">
        <v>5</v>
      </c>
      <c r="C27" s="56">
        <v>7.99</v>
      </c>
      <c r="D27" s="57">
        <f t="shared" si="4"/>
        <v>25.432959906084875</v>
      </c>
      <c r="E27" s="69">
        <v>3.36</v>
      </c>
      <c r="F27" s="50">
        <f t="shared" si="0"/>
        <v>3.3820000000000001</v>
      </c>
      <c r="G27" s="51" t="s">
        <v>70</v>
      </c>
      <c r="H27" s="58">
        <v>7.0319999999999994E-2</v>
      </c>
      <c r="I27" s="53">
        <f t="shared" si="3"/>
        <v>7.990827264E-2</v>
      </c>
      <c r="J27" s="54">
        <f>IF(I27="","",1/I27)</f>
        <v>12.514348852279232</v>
      </c>
      <c r="K27" s="55">
        <f t="shared" si="2"/>
        <v>0.47367542586873618</v>
      </c>
    </row>
    <row r="28" spans="1:11" s="1" customFormat="1" ht="12">
      <c r="B28" s="47">
        <v>6</v>
      </c>
      <c r="C28" s="56">
        <v>12</v>
      </c>
      <c r="D28" s="57">
        <f t="shared" si="4"/>
        <v>38.197186342054884</v>
      </c>
      <c r="E28" s="69">
        <v>3.04</v>
      </c>
      <c r="F28" s="50">
        <f t="shared" si="0"/>
        <v>3.4820000000000002</v>
      </c>
      <c r="G28" s="51" t="s">
        <v>70</v>
      </c>
      <c r="H28" s="58">
        <v>6.0940000000000001E-2</v>
      </c>
      <c r="I28" s="53">
        <f t="shared" si="3"/>
        <v>6.4506696320000001E-2</v>
      </c>
      <c r="J28" s="54">
        <f t="shared" si="1"/>
        <v>15.502266540504177</v>
      </c>
      <c r="K28" s="55">
        <f t="shared" si="2"/>
        <v>0.52353599701281361</v>
      </c>
    </row>
    <row r="29" spans="1:11" s="1" customFormat="1" ht="12">
      <c r="B29" s="47">
        <v>7</v>
      </c>
      <c r="C29" s="56">
        <v>16</v>
      </c>
      <c r="D29" s="57">
        <f t="shared" si="4"/>
        <v>50.929581789406505</v>
      </c>
      <c r="E29" s="69">
        <v>2.81</v>
      </c>
      <c r="F29" s="50">
        <f t="shared" si="0"/>
        <v>3.5470000000000002</v>
      </c>
      <c r="G29" s="51" t="s">
        <v>70</v>
      </c>
      <c r="H29" s="58">
        <v>5.5410000000000001E-2</v>
      </c>
      <c r="I29" s="53">
        <f t="shared" si="3"/>
        <v>5.5227534870000011E-2</v>
      </c>
      <c r="J29" s="54">
        <f t="shared" si="1"/>
        <v>18.106909938201987</v>
      </c>
      <c r="K29" s="55">
        <f t="shared" si="2"/>
        <v>0.56638769783592646</v>
      </c>
    </row>
    <row r="30" spans="1:11" s="1" customFormat="1" ht="12">
      <c r="B30" s="47">
        <v>8</v>
      </c>
      <c r="C30" s="56">
        <v>20</v>
      </c>
      <c r="D30" s="57">
        <f t="shared" si="4"/>
        <v>63.661977236758133</v>
      </c>
      <c r="E30" s="69">
        <v>2.62</v>
      </c>
      <c r="F30" s="50">
        <f t="shared" si="0"/>
        <v>3.5950000000000002</v>
      </c>
      <c r="G30" s="51" t="s">
        <v>70</v>
      </c>
      <c r="H30" s="58">
        <v>5.1679999999999997E-2</v>
      </c>
      <c r="I30" s="53">
        <f t="shared" si="3"/>
        <v>4.8676875200000004E-2</v>
      </c>
      <c r="J30" s="54">
        <f t="shared" si="1"/>
        <v>20.543635882362473</v>
      </c>
      <c r="K30" s="55">
        <f t="shared" si="2"/>
        <v>0.6074616148545624</v>
      </c>
    </row>
    <row r="31" spans="1:11" s="1" customFormat="1" ht="12">
      <c r="B31" s="47"/>
      <c r="C31" s="56"/>
      <c r="D31" s="57" t="str">
        <f t="shared" si="4"/>
        <v/>
      </c>
      <c r="E31" s="69"/>
      <c r="F31" s="50" t="str">
        <f t="shared" si="0"/>
        <v/>
      </c>
      <c r="G31" s="51"/>
      <c r="H31" s="58"/>
      <c r="I31" s="53" t="str">
        <f t="shared" si="3"/>
        <v/>
      </c>
      <c r="J31" s="54" t="str">
        <f t="shared" si="1"/>
        <v/>
      </c>
      <c r="K31" s="55" t="str">
        <f t="shared" si="2"/>
        <v/>
      </c>
    </row>
    <row r="32" spans="1:11" s="1" customFormat="1" ht="12">
      <c r="B32" s="47"/>
      <c r="C32" s="56"/>
      <c r="D32" s="57" t="str">
        <f t="shared" si="4"/>
        <v/>
      </c>
      <c r="E32" s="69"/>
      <c r="F32" s="50" t="str">
        <f t="shared" si="0"/>
        <v/>
      </c>
      <c r="G32" s="51"/>
      <c r="H32" s="58"/>
      <c r="I32" s="53" t="str">
        <f t="shared" si="3"/>
        <v/>
      </c>
      <c r="J32" s="54" t="str">
        <f t="shared" si="1"/>
        <v/>
      </c>
      <c r="K32" s="55" t="str">
        <f t="shared" si="2"/>
        <v/>
      </c>
    </row>
    <row r="33" spans="2:11" s="1" customFormat="1" ht="12">
      <c r="B33" s="47"/>
      <c r="C33" s="56"/>
      <c r="D33" s="57" t="str">
        <f t="shared" si="4"/>
        <v/>
      </c>
      <c r="E33" s="69"/>
      <c r="F33" s="50" t="str">
        <f t="shared" si="0"/>
        <v/>
      </c>
      <c r="G33" s="51"/>
      <c r="H33" s="58"/>
      <c r="I33" s="53" t="str">
        <f t="shared" si="3"/>
        <v/>
      </c>
      <c r="J33" s="54" t="str">
        <f t="shared" si="1"/>
        <v/>
      </c>
      <c r="K33" s="55" t="str">
        <f t="shared" si="2"/>
        <v/>
      </c>
    </row>
    <row r="34" spans="2:11" s="1" customFormat="1" ht="12">
      <c r="B34" s="47"/>
      <c r="C34" s="56"/>
      <c r="D34" s="57" t="str">
        <f t="shared" si="4"/>
        <v/>
      </c>
      <c r="E34" s="69"/>
      <c r="F34" s="50" t="str">
        <f t="shared" si="0"/>
        <v/>
      </c>
      <c r="G34" s="51"/>
      <c r="H34" s="58"/>
      <c r="I34" s="53" t="str">
        <f t="shared" si="3"/>
        <v/>
      </c>
      <c r="J34" s="54" t="str">
        <f t="shared" si="1"/>
        <v/>
      </c>
      <c r="K34" s="55" t="str">
        <f t="shared" si="2"/>
        <v/>
      </c>
    </row>
    <row r="35" spans="2:11" s="1" customFormat="1" ht="12">
      <c r="B35" s="47"/>
      <c r="C35" s="56"/>
      <c r="D35" s="57" t="str">
        <f t="shared" si="4"/>
        <v/>
      </c>
      <c r="E35" s="69"/>
      <c r="F35" s="50" t="str">
        <f t="shared" si="0"/>
        <v/>
      </c>
      <c r="G35" s="51"/>
      <c r="H35" s="58"/>
      <c r="I35" s="53" t="str">
        <f t="shared" si="3"/>
        <v/>
      </c>
      <c r="J35" s="54" t="str">
        <f t="shared" si="1"/>
        <v/>
      </c>
      <c r="K35" s="55" t="str">
        <f t="shared" si="2"/>
        <v/>
      </c>
    </row>
    <row r="36" spans="2:11" s="1" customFormat="1" ht="12">
      <c r="B36" s="47"/>
      <c r="C36" s="56"/>
      <c r="D36" s="57" t="str">
        <f t="shared" si="4"/>
        <v/>
      </c>
      <c r="E36" s="69"/>
      <c r="F36" s="50" t="str">
        <f t="shared" si="0"/>
        <v/>
      </c>
      <c r="G36" s="51"/>
      <c r="H36" s="58"/>
      <c r="I36" s="53" t="str">
        <f t="shared" si="3"/>
        <v/>
      </c>
      <c r="J36" s="54" t="str">
        <f t="shared" si="1"/>
        <v/>
      </c>
      <c r="K36" s="55" t="str">
        <f t="shared" si="2"/>
        <v/>
      </c>
    </row>
    <row r="37" spans="2:11" s="1" customFormat="1" ht="12">
      <c r="B37" s="47"/>
      <c r="C37" s="56"/>
      <c r="D37" s="57" t="str">
        <f t="shared" si="4"/>
        <v/>
      </c>
      <c r="E37" s="69"/>
      <c r="F37" s="50" t="str">
        <f t="shared" si="0"/>
        <v/>
      </c>
      <c r="G37" s="51"/>
      <c r="H37" s="58"/>
      <c r="I37" s="53" t="str">
        <f t="shared" si="3"/>
        <v/>
      </c>
      <c r="J37" s="54" t="str">
        <f t="shared" si="1"/>
        <v/>
      </c>
      <c r="K37" s="55" t="str">
        <f t="shared" si="2"/>
        <v/>
      </c>
    </row>
    <row r="38" spans="2:11" s="1" customFormat="1" ht="12">
      <c r="B38" s="47"/>
      <c r="C38" s="56"/>
      <c r="D38" s="57" t="str">
        <f t="shared" si="4"/>
        <v/>
      </c>
      <c r="E38" s="69"/>
      <c r="F38" s="50" t="str">
        <f t="shared" si="0"/>
        <v/>
      </c>
      <c r="G38" s="51"/>
      <c r="H38" s="58"/>
      <c r="I38" s="53" t="str">
        <f t="shared" si="3"/>
        <v/>
      </c>
      <c r="J38" s="54" t="str">
        <f t="shared" si="1"/>
        <v/>
      </c>
      <c r="K38" s="55" t="str">
        <f t="shared" si="2"/>
        <v/>
      </c>
    </row>
    <row r="39" spans="2:11" s="1" customFormat="1" ht="12">
      <c r="B39" s="47"/>
      <c r="C39" s="56"/>
      <c r="D39" s="57" t="str">
        <f t="shared" si="4"/>
        <v/>
      </c>
      <c r="E39" s="69"/>
      <c r="F39" s="50" t="str">
        <f t="shared" si="0"/>
        <v/>
      </c>
      <c r="G39" s="51"/>
      <c r="H39" s="58"/>
      <c r="I39" s="53" t="str">
        <f t="shared" si="3"/>
        <v/>
      </c>
      <c r="J39" s="54" t="str">
        <f t="shared" si="1"/>
        <v/>
      </c>
      <c r="K39" s="55" t="str">
        <f t="shared" si="2"/>
        <v/>
      </c>
    </row>
    <row r="40" spans="2:11" s="1" customFormat="1" ht="12">
      <c r="B40" s="47"/>
      <c r="C40" s="56"/>
      <c r="D40" s="57" t="str">
        <f t="shared" si="4"/>
        <v/>
      </c>
      <c r="E40" s="69"/>
      <c r="F40" s="50" t="str">
        <f t="shared" si="0"/>
        <v/>
      </c>
      <c r="G40" s="51"/>
      <c r="H40" s="58"/>
      <c r="I40" s="53" t="str">
        <f t="shared" si="3"/>
        <v/>
      </c>
      <c r="J40" s="54" t="str">
        <f t="shared" si="1"/>
        <v/>
      </c>
      <c r="K40" s="55" t="str">
        <f t="shared" si="2"/>
        <v/>
      </c>
    </row>
    <row r="41" spans="2:11" s="1" customFormat="1" ht="12">
      <c r="B41" s="47"/>
      <c r="C41" s="56"/>
      <c r="D41" s="57" t="str">
        <f>IF(C41="","",((C41*1000)/(($G$10/1000)^2*PI()))/1000000)</f>
        <v/>
      </c>
      <c r="E41" s="69"/>
      <c r="F41" s="50" t="str">
        <f t="shared" si="0"/>
        <v/>
      </c>
      <c r="G41" s="51"/>
      <c r="H41" s="58"/>
      <c r="I41" s="53" t="str">
        <f t="shared" si="3"/>
        <v/>
      </c>
      <c r="J41" s="54" t="str">
        <f t="shared" si="1"/>
        <v/>
      </c>
      <c r="K41" s="55" t="str">
        <f t="shared" si="2"/>
        <v/>
      </c>
    </row>
    <row r="42" spans="2:11" s="1" customFormat="1" ht="12">
      <c r="B42" s="59"/>
      <c r="C42" s="60"/>
      <c r="D42" s="61" t="str">
        <f>IF(C42="","",((C42*1000)/(($G$10/1000)^2*PI()))/1000000)</f>
        <v/>
      </c>
      <c r="E42" s="70"/>
      <c r="F42" s="62" t="str">
        <f t="shared" si="0"/>
        <v/>
      </c>
      <c r="G42" s="63"/>
      <c r="H42" s="64"/>
      <c r="I42" s="65" t="str">
        <f>IF(OR(E42="",H42=""),"",H42*F42*E42*0.1)</f>
        <v/>
      </c>
      <c r="J42" s="66" t="str">
        <f t="shared" si="1"/>
        <v/>
      </c>
      <c r="K42" s="67" t="str">
        <f t="shared" si="2"/>
        <v/>
      </c>
    </row>
    <row r="43" spans="2:11" s="1" customFormat="1" ht="12"/>
    <row r="44" spans="2:11" s="1" customFormat="1" ht="12"/>
    <row r="45" spans="2:11" s="1" customFormat="1" ht="12"/>
    <row r="46" spans="2:11" s="1" customFormat="1" ht="12"/>
    <row r="47" spans="2:11" s="1" customFormat="1" ht="12"/>
    <row r="48" spans="2:11" s="1" customFormat="1" ht="12"/>
    <row r="49" s="1" customFormat="1" ht="12"/>
    <row r="50" s="1" customFormat="1" ht="12"/>
    <row r="51" s="1" customFormat="1" ht="12"/>
    <row r="52" s="1" customFormat="1" ht="12"/>
    <row r="53" s="1" customFormat="1" ht="12"/>
    <row r="54" s="1" customFormat="1" ht="12"/>
    <row r="55" s="1" customFormat="1" ht="12"/>
    <row r="56" s="1" customFormat="1" ht="12"/>
    <row r="57" s="1" customFormat="1" ht="12"/>
    <row r="58" s="1" customFormat="1" ht="12"/>
    <row r="59" s="1" customFormat="1" ht="12"/>
    <row r="60" s="1" customFormat="1" ht="12"/>
    <row r="61" s="1" customFormat="1" ht="12"/>
    <row r="62" s="1" customFormat="1" ht="12"/>
    <row r="63" s="1" customFormat="1" ht="12"/>
    <row r="64" s="1" customFormat="1" ht="12"/>
    <row r="65" s="1" customFormat="1" ht="12"/>
    <row r="66" s="1" customFormat="1" ht="12"/>
    <row r="67" s="1" customFormat="1" ht="12"/>
    <row r="68" s="1" customFormat="1" ht="12"/>
    <row r="69" s="1" customFormat="1" ht="12"/>
    <row r="70" s="1" customFormat="1" ht="12"/>
    <row r="71" s="1" customFormat="1" ht="12"/>
    <row r="72" s="1" customFormat="1" ht="12"/>
    <row r="73" s="1" customFormat="1" ht="12"/>
  </sheetData>
  <mergeCells count="5">
    <mergeCell ref="I17:K17"/>
    <mergeCell ref="E19:K19"/>
    <mergeCell ref="G21:H21"/>
    <mergeCell ref="G22:H22"/>
    <mergeCell ref="F11:G11"/>
  </mergeCells>
  <phoneticPr fontId="1"/>
  <conditionalFormatting sqref="G23:G42">
    <cfRule type="cellIs" dxfId="0" priority="1" stopIfTrue="1" operator="notEqual">
      <formula>"OK"</formula>
    </cfRule>
  </conditionalFormatting>
  <pageMargins left="0.78740157480314965" right="0.59055118110236227" top="0.59055118110236227" bottom="0.59055118110236227" header="0.31496062992125984" footer="0.31496062992125984"/>
  <pageSetup paperSize="9" orientation="portrait" horizontalDpi="300" verticalDpi="300" r:id="rId1"/>
  <headerFooter alignWithMargins="0">
    <oddHeader>&amp;R&amp;9&amp;D</oddHeader>
    <oddFooter>&amp;L&amp;9&amp;F;&amp;A&amp;R&amp;9&amp;P/&amp;N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5F619-5BEB-452D-B4DB-957876AA5002}">
  <sheetPr codeName="shtHed"/>
  <dimension ref="A3:B25"/>
  <sheetViews>
    <sheetView workbookViewId="0"/>
  </sheetViews>
  <sheetFormatPr baseColWidth="10" defaultColWidth="9.140625" defaultRowHeight="12"/>
  <cols>
    <col min="1" max="1" width="43.28515625" style="1" bestFit="1" customWidth="1"/>
    <col min="2" max="2" width="10.7109375" style="1" customWidth="1"/>
    <col min="3" max="16384" width="9.140625" style="1"/>
  </cols>
  <sheetData>
    <row r="3" spans="1:2">
      <c r="A3" s="1" t="s">
        <v>2</v>
      </c>
      <c r="B3" s="1">
        <v>-2</v>
      </c>
    </row>
    <row r="4" spans="1:2">
      <c r="A4" s="1" t="s">
        <v>9</v>
      </c>
      <c r="B4" s="1" t="s">
        <v>63</v>
      </c>
    </row>
    <row r="5" spans="1:2">
      <c r="A5" s="1" t="s">
        <v>47</v>
      </c>
      <c r="B5" s="1">
        <v>0.5</v>
      </c>
    </row>
    <row r="6" spans="1:2">
      <c r="A6" s="1" t="s">
        <v>48</v>
      </c>
      <c r="B6" s="1">
        <v>10</v>
      </c>
    </row>
    <row r="7" spans="1:2">
      <c r="A7" s="1" t="s">
        <v>49</v>
      </c>
      <c r="B7" s="1">
        <v>0</v>
      </c>
    </row>
    <row r="8" spans="1:2">
      <c r="A8" s="1" t="s">
        <v>50</v>
      </c>
      <c r="B8" s="1">
        <v>20</v>
      </c>
    </row>
    <row r="9" spans="1:2">
      <c r="A9" s="1" t="s">
        <v>42</v>
      </c>
      <c r="B9" s="1" t="s">
        <v>64</v>
      </c>
    </row>
    <row r="10" spans="1:2">
      <c r="A10" s="1" t="s">
        <v>51</v>
      </c>
      <c r="B10" s="1">
        <v>0.05</v>
      </c>
    </row>
    <row r="11" spans="1:2">
      <c r="A11" s="1" t="s">
        <v>52</v>
      </c>
      <c r="B11" s="1">
        <v>30</v>
      </c>
    </row>
    <row r="12" spans="1:2">
      <c r="A12" s="1" t="s">
        <v>46</v>
      </c>
      <c r="B12" s="1" t="s">
        <v>65</v>
      </c>
    </row>
    <row r="15" spans="1:2">
      <c r="A15" s="1" t="s">
        <v>4</v>
      </c>
      <c r="B15" s="1">
        <v>1</v>
      </c>
    </row>
    <row r="16" spans="1:2">
      <c r="A16" s="1" t="s">
        <v>5</v>
      </c>
      <c r="B16" s="1" t="s">
        <v>66</v>
      </c>
    </row>
    <row r="17" spans="1:2">
      <c r="A17" s="1" t="s">
        <v>53</v>
      </c>
      <c r="B17" s="1">
        <v>3</v>
      </c>
    </row>
    <row r="18" spans="1:2">
      <c r="A18" s="1" t="s">
        <v>54</v>
      </c>
      <c r="B18" s="1">
        <v>0.7</v>
      </c>
    </row>
    <row r="19" spans="1:2">
      <c r="A19" s="1" t="s">
        <v>55</v>
      </c>
      <c r="B19" s="1">
        <v>90</v>
      </c>
    </row>
    <row r="20" spans="1:2">
      <c r="A20" s="1" t="s">
        <v>56</v>
      </c>
      <c r="B20" s="1">
        <v>0</v>
      </c>
    </row>
    <row r="21" spans="1:2">
      <c r="A21" s="1" t="s">
        <v>57</v>
      </c>
      <c r="B21" s="1">
        <v>0</v>
      </c>
    </row>
    <row r="23" spans="1:2">
      <c r="A23" s="1" t="s">
        <v>6</v>
      </c>
      <c r="B23" s="71" t="s">
        <v>67</v>
      </c>
    </row>
    <row r="24" spans="1:2">
      <c r="A24" s="1" t="s">
        <v>7</v>
      </c>
      <c r="B24" s="71" t="s">
        <v>68</v>
      </c>
    </row>
    <row r="25" spans="1:2">
      <c r="A25" s="1" t="s">
        <v>8</v>
      </c>
      <c r="B25" s="2" t="s">
        <v>69</v>
      </c>
    </row>
  </sheetData>
  <phoneticPr fontId="1"/>
  <pageMargins left="0.75" right="0.75" top="1" bottom="1" header="0.51200000000000001" footer="0.5120000000000000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EF18B03508894592DD79C9C38894D9" ma:contentTypeVersion="0" ma:contentTypeDescription="Create a new document." ma:contentTypeScope="" ma:versionID="cc30ab2d5e98dded8baa89b0bbc418c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6ff03dde4259c08ff71d8d05c94e2e9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6D5A815-0C6B-49A8-A48B-680CDEB4E19F}"/>
</file>

<file path=customXml/itemProps2.xml><?xml version="1.0" encoding="utf-8"?>
<ds:datastoreItem xmlns:ds="http://schemas.openxmlformats.org/officeDocument/2006/customXml" ds:itemID="{E6C6113C-0356-48D3-81E1-2C818FBDF20D}"/>
</file>

<file path=customXml/itemProps3.xml><?xml version="1.0" encoding="utf-8"?>
<ds:datastoreItem xmlns:ds="http://schemas.openxmlformats.org/officeDocument/2006/customXml" ds:itemID="{B846CF1A-CB37-4CE0-A292-D1B8C8A0D565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Results report(After corr.)</vt:lpstr>
      <vt:lpstr>Results report(Before corr.)</vt:lpstr>
      <vt:lpstr>Measurement condition</vt:lpstr>
      <vt:lpstr>'Results report(After corr.)'!Druckbereich</vt:lpstr>
    </vt:vector>
  </TitlesOfParts>
  <Company>Nittoseiko Analytech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Automatic Powder Resistivity Analyzer (Loresta)</dc:title>
  <dc:subject>Report</dc:subject>
  <dc:creator>Nittoseiko Analytech Co., Ltd.</dc:creator>
  <dc:description>Ver. 20.0.1</dc:description>
  <cp:lastModifiedBy>Andrea Giesen</cp:lastModifiedBy>
  <cp:lastPrinted>2001-09-05T01:28:51Z</cp:lastPrinted>
  <dcterms:created xsi:type="dcterms:W3CDTF">1999-09-08T04:27:26Z</dcterms:created>
  <dcterms:modified xsi:type="dcterms:W3CDTF">2025-03-05T13:09:16Z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0x0101000BEF18B03508894592DD79C9C38894D9</vt:lpwstr>
  </property>
</Properties>
</file>