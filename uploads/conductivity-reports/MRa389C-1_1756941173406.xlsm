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D600\Documents\N&amp;H\Curia\2025-03-05\"/>
    </mc:Choice>
  </mc:AlternateContent>
  <xr:revisionPtr revIDLastSave="0" documentId="8_{FD016BFF-72D1-4F13-8C8C-3D472A4505EE}" xr6:coauthVersionLast="47" xr6:coauthVersionMax="47" xr10:uidLastSave="{00000000-0000-0000-0000-000000000000}"/>
  <bookViews>
    <workbookView xWindow="3765" yWindow="3600" windowWidth="17955" windowHeight="10920" xr2:uid="{73B2A2F6-BEFF-4F7B-B02E-69E89D7DD0D5}"/>
  </bookViews>
  <sheets>
    <sheet name="Results report(After corr.)" sheetId="3" r:id="rId1"/>
    <sheet name="Results report(Before corr.)" sheetId="1" r:id="rId2"/>
    <sheet name="Measurement condition" sheetId="2" r:id="rId3"/>
  </sheets>
  <functionGroups builtInGroupCount="19"/>
  <definedNames>
    <definedName name="_xlnm.Print_Area" localSheetId="0">'Results report(After corr.)'!$A$1:$N$42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3" l="1"/>
  <c r="F15" i="1"/>
  <c r="F15" i="3"/>
  <c r="G14" i="3"/>
  <c r="G13" i="3"/>
  <c r="G12" i="3"/>
  <c r="G14" i="1"/>
  <c r="G13" i="1"/>
  <c r="G12" i="1"/>
  <c r="K42" i="3"/>
  <c r="I42" i="3"/>
  <c r="J42" i="3" s="1"/>
  <c r="D42" i="3"/>
  <c r="K41" i="3"/>
  <c r="I41" i="3"/>
  <c r="J41" i="3" s="1"/>
  <c r="D41" i="3"/>
  <c r="K40" i="3"/>
  <c r="I40" i="3"/>
  <c r="J40" i="3" s="1"/>
  <c r="D40" i="3"/>
  <c r="K39" i="3"/>
  <c r="I39" i="3"/>
  <c r="J39" i="3" s="1"/>
  <c r="D39" i="3"/>
  <c r="K38" i="3"/>
  <c r="I38" i="3"/>
  <c r="J38" i="3" s="1"/>
  <c r="D38" i="3"/>
  <c r="K37" i="3"/>
  <c r="I37" i="3"/>
  <c r="J37" i="3" s="1"/>
  <c r="D37" i="3"/>
  <c r="K36" i="3"/>
  <c r="I36" i="3"/>
  <c r="J36" i="3" s="1"/>
  <c r="D36" i="3"/>
  <c r="K35" i="3"/>
  <c r="I35" i="3"/>
  <c r="J35" i="3" s="1"/>
  <c r="D35" i="3"/>
  <c r="K34" i="3"/>
  <c r="I34" i="3"/>
  <c r="J34" i="3" s="1"/>
  <c r="D34" i="3"/>
  <c r="K33" i="3"/>
  <c r="I33" i="3"/>
  <c r="J33" i="3" s="1"/>
  <c r="D33" i="3"/>
  <c r="K32" i="3"/>
  <c r="I32" i="3"/>
  <c r="J32" i="3" s="1"/>
  <c r="D32" i="3"/>
  <c r="K31" i="3"/>
  <c r="I31" i="3"/>
  <c r="J31" i="3" s="1"/>
  <c r="D31" i="3"/>
  <c r="K30" i="3"/>
  <c r="I30" i="3"/>
  <c r="J30" i="3" s="1"/>
  <c r="D30" i="3"/>
  <c r="K29" i="3"/>
  <c r="I29" i="3"/>
  <c r="J29" i="3" s="1"/>
  <c r="D29" i="3"/>
  <c r="K28" i="3"/>
  <c r="I28" i="3"/>
  <c r="J28" i="3" s="1"/>
  <c r="D28" i="3"/>
  <c r="K27" i="3"/>
  <c r="I27" i="3"/>
  <c r="J27" i="3" s="1"/>
  <c r="D27" i="3"/>
  <c r="K26" i="3"/>
  <c r="I26" i="3"/>
  <c r="J26" i="3" s="1"/>
  <c r="D26" i="3"/>
  <c r="K25" i="3"/>
  <c r="I25" i="3"/>
  <c r="J25" i="3" s="1"/>
  <c r="D25" i="3"/>
  <c r="K24" i="3"/>
  <c r="I24" i="3"/>
  <c r="J24" i="3" s="1"/>
  <c r="D24" i="3"/>
  <c r="K23" i="3"/>
  <c r="I23" i="3"/>
  <c r="J23" i="3" s="1"/>
  <c r="D23" i="3"/>
  <c r="G5" i="3"/>
  <c r="G6" i="3"/>
  <c r="G7" i="3"/>
  <c r="G8" i="3"/>
  <c r="G9" i="3"/>
  <c r="G10" i="3"/>
  <c r="F11" i="3"/>
  <c r="E19" i="3"/>
  <c r="G5" i="1"/>
  <c r="G6" i="1"/>
  <c r="G7" i="1"/>
  <c r="G8" i="1"/>
  <c r="G9" i="1"/>
  <c r="G10" i="1"/>
  <c r="F11" i="1"/>
  <c r="I17" i="1"/>
  <c r="E19" i="1"/>
  <c r="D23" i="1"/>
  <c r="I23" i="1"/>
  <c r="J23" i="1" s="1"/>
  <c r="K23" i="1"/>
  <c r="D24" i="1"/>
  <c r="I24" i="1"/>
  <c r="J24" i="1" s="1"/>
  <c r="K24" i="1"/>
  <c r="D25" i="1"/>
  <c r="I25" i="1"/>
  <c r="J25" i="1" s="1"/>
  <c r="K25" i="1"/>
  <c r="D26" i="1"/>
  <c r="I26" i="1"/>
  <c r="J26" i="1" s="1"/>
  <c r="K26" i="1"/>
  <c r="D27" i="1"/>
  <c r="I27" i="1"/>
  <c r="J27" i="1" s="1"/>
  <c r="K27" i="1"/>
  <c r="D28" i="1"/>
  <c r="I28" i="1"/>
  <c r="J28" i="1" s="1"/>
  <c r="K28" i="1"/>
  <c r="D29" i="1"/>
  <c r="I29" i="1"/>
  <c r="J29" i="1" s="1"/>
  <c r="K29" i="1"/>
  <c r="D30" i="1"/>
  <c r="I30" i="1"/>
  <c r="J30" i="1" s="1"/>
  <c r="K30" i="1"/>
  <c r="D31" i="1"/>
  <c r="I31" i="1"/>
  <c r="J31" i="1" s="1"/>
  <c r="K31" i="1"/>
  <c r="D32" i="1"/>
  <c r="I32" i="1"/>
  <c r="J32" i="1" s="1"/>
  <c r="K32" i="1"/>
  <c r="D33" i="1"/>
  <c r="I33" i="1"/>
  <c r="J33" i="1" s="1"/>
  <c r="K33" i="1"/>
  <c r="D34" i="1"/>
  <c r="I34" i="1"/>
  <c r="J34" i="1" s="1"/>
  <c r="K34" i="1"/>
  <c r="D35" i="1"/>
  <c r="I35" i="1"/>
  <c r="J35" i="1" s="1"/>
  <c r="K35" i="1"/>
  <c r="D36" i="1"/>
  <c r="I36" i="1"/>
  <c r="J36" i="1" s="1"/>
  <c r="K36" i="1"/>
  <c r="D37" i="1"/>
  <c r="I37" i="1"/>
  <c r="J37" i="1" s="1"/>
  <c r="K37" i="1"/>
  <c r="D38" i="1"/>
  <c r="I38" i="1"/>
  <c r="J38" i="1" s="1"/>
  <c r="K38" i="1"/>
  <c r="D39" i="1"/>
  <c r="I39" i="1"/>
  <c r="J39" i="1" s="1"/>
  <c r="K39" i="1"/>
  <c r="D40" i="1"/>
  <c r="I40" i="1"/>
  <c r="J40" i="1" s="1"/>
  <c r="K40" i="1"/>
  <c r="D41" i="1"/>
  <c r="I41" i="1"/>
  <c r="J41" i="1" s="1"/>
  <c r="K41" i="1"/>
  <c r="D42" i="1"/>
  <c r="I42" i="1"/>
  <c r="J42" i="1" s="1"/>
  <c r="K42" i="1"/>
  <c r="F27" i="1"/>
  <c r="F36" i="1"/>
  <c r="F23" i="1"/>
  <c r="F32" i="1"/>
  <c r="F25" i="1"/>
  <c r="F33" i="3"/>
  <c r="F24" i="3"/>
  <c r="F30" i="3"/>
  <c r="F27" i="3"/>
  <c r="F32" i="3"/>
  <c r="F23" i="3"/>
  <c r="F28" i="1"/>
  <c r="F42" i="1"/>
  <c r="F24" i="1"/>
  <c r="F38" i="1"/>
  <c r="F41" i="1"/>
  <c r="F29" i="3"/>
  <c r="F42" i="3"/>
  <c r="F39" i="3"/>
  <c r="F28" i="3"/>
  <c r="F33" i="1"/>
  <c r="F34" i="1"/>
  <c r="F29" i="1"/>
  <c r="F30" i="1"/>
  <c r="F39" i="1"/>
  <c r="F41" i="3"/>
  <c r="F25" i="3"/>
  <c r="F38" i="3"/>
  <c r="F40" i="3"/>
  <c r="F26" i="1"/>
  <c r="F35" i="1"/>
  <c r="F37" i="1"/>
  <c r="F31" i="1"/>
  <c r="F40" i="1"/>
  <c r="F37" i="3"/>
  <c r="F26" i="3"/>
  <c r="F34" i="3"/>
  <c r="F31" i="3"/>
  <c r="F36" i="3"/>
  <c r="F35" i="3"/>
</calcChain>
</file>

<file path=xl/sharedStrings.xml><?xml version="1.0" encoding="utf-8"?>
<sst xmlns="http://schemas.openxmlformats.org/spreadsheetml/2006/main" count="132" uniqueCount="71">
  <si>
    <t>(kN)</t>
    <phoneticPr fontId="1"/>
  </si>
  <si>
    <t>(MPa)</t>
    <phoneticPr fontId="1"/>
  </si>
  <si>
    <t>Auto range - Start range</t>
  </si>
  <si>
    <t>Sample radius</t>
  </si>
  <si>
    <t>Probe number</t>
  </si>
  <si>
    <t>Probe name</t>
  </si>
  <si>
    <t>Measurement date</t>
  </si>
  <si>
    <t>Measurement end time</t>
  </si>
  <si>
    <t>Sample name</t>
  </si>
  <si>
    <t>Voltage limiter</t>
  </si>
  <si>
    <t>Electrode distance</t>
  </si>
  <si>
    <t>Electrode radius</t>
  </si>
  <si>
    <t>Measurement condition</t>
    <phoneticPr fontId="1"/>
  </si>
  <si>
    <t>Start range</t>
  </si>
  <si>
    <t>Probe</t>
  </si>
  <si>
    <t>Sample weight</t>
    <phoneticPr fontId="1"/>
  </si>
  <si>
    <t>Results</t>
  </si>
  <si>
    <t>Load</t>
  </si>
  <si>
    <t>Pressure</t>
  </si>
  <si>
    <t>Thickness</t>
  </si>
  <si>
    <t>Resistance</t>
    <phoneticPr fontId="1"/>
  </si>
  <si>
    <t>(Ohm)</t>
    <phoneticPr fontId="1"/>
  </si>
  <si>
    <t>Volume resistivity</t>
    <phoneticPr fontId="1"/>
  </si>
  <si>
    <t>(Ohm-cm)</t>
    <phoneticPr fontId="1"/>
  </si>
  <si>
    <t>Conductivity</t>
  </si>
  <si>
    <t>(S/cm)</t>
    <phoneticPr fontId="1"/>
  </si>
  <si>
    <t>Density</t>
  </si>
  <si>
    <t>10EXP</t>
    <phoneticPr fontId="1"/>
  </si>
  <si>
    <t>V</t>
    <phoneticPr fontId="1"/>
  </si>
  <si>
    <t>mm</t>
    <phoneticPr fontId="1"/>
  </si>
  <si>
    <t>g</t>
    <phoneticPr fontId="1"/>
  </si>
  <si>
    <t>No.</t>
    <phoneticPr fontId="1"/>
  </si>
  <si>
    <t>RCF</t>
    <phoneticPr fontId="1"/>
  </si>
  <si>
    <t>(mm)</t>
    <phoneticPr fontId="1"/>
  </si>
  <si>
    <t>Ohm</t>
    <phoneticPr fontId="1"/>
  </si>
  <si>
    <t>Sample name</t>
    <phoneticPr fontId="1"/>
  </si>
  <si>
    <t>Slope</t>
  </si>
  <si>
    <t>(B)</t>
  </si>
  <si>
    <t>Intercept</t>
  </si>
  <si>
    <t>(C)</t>
  </si>
  <si>
    <t>kN</t>
  </si>
  <si>
    <t>s</t>
  </si>
  <si>
    <t>Speed table</t>
  </si>
  <si>
    <t>Speed change point</t>
  </si>
  <si>
    <t>(-)</t>
  </si>
  <si>
    <t>Holding time</t>
  </si>
  <si>
    <t>Thickness corr.</t>
  </si>
  <si>
    <t>Sample weight(g)</t>
  </si>
  <si>
    <t>Sample radius(mm)</t>
  </si>
  <si>
    <t>Start pressure(kN)</t>
  </si>
  <si>
    <t>End pressure(kN)</t>
  </si>
  <si>
    <t>Speed change point(kN)</t>
  </si>
  <si>
    <t>Holding time(s)</t>
  </si>
  <si>
    <t>Electrode distance(mm)</t>
  </si>
  <si>
    <t>Electrode radius(mm)</t>
  </si>
  <si>
    <t>Angle with a X axis(degrees)</t>
  </si>
  <si>
    <t>Center coordinate X(mm)</t>
  </si>
  <si>
    <t>Center coordinate Y(mm)</t>
  </si>
  <si>
    <t>Corrected</t>
  </si>
  <si>
    <t>Zero corr.</t>
  </si>
  <si>
    <t>(g/cm3)</t>
  </si>
  <si>
    <r>
      <t>Ver. 20</t>
    </r>
    <r>
      <rPr>
        <sz val="10"/>
        <rFont val="Arial"/>
        <family val="2"/>
      </rPr>
      <t>.1.</t>
    </r>
    <r>
      <rPr>
        <sz val="10"/>
        <rFont val="Arial"/>
        <family val="2"/>
      </rPr>
      <t>1</t>
    </r>
  </si>
  <si>
    <t>Automatic Powder Resistivity Analyzer (Loresta)</t>
  </si>
  <si>
    <t>-</t>
  </si>
  <si>
    <t>General</t>
  </si>
  <si>
    <t>20231011.tcn</t>
  </si>
  <si>
    <t>4-pin probe ɸ20</t>
  </si>
  <si>
    <t>05.03.2025</t>
  </si>
  <si>
    <t>13:53</t>
  </si>
  <si>
    <t>MRa389C_1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</si>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</sst>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4" formatCode="0_ "/>
    <numFmt numFmtId="185" formatCode="0.0_ "/>
    <numFmt numFmtId="186" formatCode="0.000_ "/>
    <numFmt numFmtId="187" formatCode="0.000E+00"/>
    <numFmt numFmtId="189" formatCode="0.00_ "/>
    <numFmt numFmtId="193" formatCode="0.00000_ "/>
  </numFmts>
  <fonts count="12">
    <font>
      <sz val="10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/>
    <xf numFmtId="0" fontId="5" fillId="0" borderId="0" xfId="0" applyFont="1"/>
    <xf numFmtId="0" fontId="7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4" xfId="0" applyFont="1" applyFill="1" applyBorder="1"/>
    <xf numFmtId="0" fontId="3" fillId="0" borderId="6" xfId="0" applyFont="1" applyFill="1" applyBorder="1"/>
    <xf numFmtId="0" fontId="3" fillId="0" borderId="6" xfId="0" applyFont="1" applyBorder="1" applyAlignment="1"/>
    <xf numFmtId="0" fontId="3" fillId="0" borderId="4" xfId="0" applyFont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0" xfId="0" applyFont="1" applyAlignment="1"/>
    <xf numFmtId="0" fontId="3" fillId="2" borderId="12" xfId="0" applyFont="1" applyFill="1" applyBorder="1"/>
    <xf numFmtId="0" fontId="3" fillId="2" borderId="13" xfId="0" applyFont="1" applyFill="1" applyBorder="1" applyAlignment="1"/>
    <xf numFmtId="0" fontId="3" fillId="2" borderId="14" xfId="0" applyFont="1" applyFill="1" applyBorder="1" applyAlignment="1"/>
    <xf numFmtId="0" fontId="3" fillId="0" borderId="13" xfId="0" applyFont="1" applyFill="1" applyBorder="1" applyAlignment="1"/>
    <xf numFmtId="49" fontId="3" fillId="0" borderId="14" xfId="0" applyNumberFormat="1" applyFont="1" applyBorder="1"/>
    <xf numFmtId="0" fontId="3" fillId="2" borderId="15" xfId="0" applyFont="1" applyFill="1" applyBorder="1"/>
    <xf numFmtId="0" fontId="3" fillId="2" borderId="16" xfId="0" applyFont="1" applyFill="1" applyBorder="1" applyAlignment="1"/>
    <xf numFmtId="0" fontId="3" fillId="2" borderId="17" xfId="0" applyFont="1" applyFill="1" applyBorder="1" applyAlignment="1"/>
    <xf numFmtId="0" fontId="3" fillId="0" borderId="16" xfId="0" applyFont="1" applyFill="1" applyBorder="1" applyAlignment="1"/>
    <xf numFmtId="49" fontId="3" fillId="0" borderId="17" xfId="0" applyNumberFormat="1" applyFont="1" applyBorder="1"/>
    <xf numFmtId="0" fontId="3" fillId="2" borderId="16" xfId="0" applyFont="1" applyFill="1" applyBorder="1" applyAlignment="1">
      <alignment horizontal="right"/>
    </xf>
    <xf numFmtId="0" fontId="3" fillId="2" borderId="18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49" fontId="3" fillId="0" borderId="20" xfId="0" applyNumberFormat="1" applyFont="1" applyBorder="1"/>
    <xf numFmtId="0" fontId="8" fillId="3" borderId="0" xfId="0" applyFont="1" applyFill="1" applyAlignment="1"/>
    <xf numFmtId="0" fontId="2" fillId="0" borderId="0" xfId="0" applyFont="1"/>
    <xf numFmtId="0" fontId="9" fillId="0" borderId="0" xfId="0" applyFont="1"/>
    <xf numFmtId="0" fontId="10" fillId="0" borderId="0" xfId="0" applyFont="1" applyFill="1" applyAlignment="1"/>
    <xf numFmtId="184" fontId="11" fillId="0" borderId="13" xfId="0" applyNumberFormat="1" applyFont="1" applyBorder="1"/>
    <xf numFmtId="184" fontId="11" fillId="0" borderId="16" xfId="0" applyNumberFormat="1" applyFont="1" applyBorder="1"/>
    <xf numFmtId="0" fontId="11" fillId="0" borderId="16" xfId="0" applyFont="1" applyBorder="1" applyAlignment="1">
      <alignment horizontal="center"/>
    </xf>
    <xf numFmtId="185" fontId="11" fillId="0" borderId="16" xfId="0" applyNumberFormat="1" applyFont="1" applyBorder="1"/>
    <xf numFmtId="184" fontId="11" fillId="0" borderId="21" xfId="0" applyNumberFormat="1" applyFont="1" applyFill="1" applyBorder="1" applyProtection="1">
      <protection locked="0"/>
    </xf>
    <xf numFmtId="189" fontId="11" fillId="0" borderId="22" xfId="0" applyNumberFormat="1" applyFont="1" applyBorder="1" applyProtection="1">
      <protection locked="0"/>
    </xf>
    <xf numFmtId="189" fontId="11" fillId="0" borderId="23" xfId="0" applyNumberFormat="1" applyFont="1" applyBorder="1"/>
    <xf numFmtId="186" fontId="11" fillId="0" borderId="22" xfId="0" applyNumberFormat="1" applyFont="1" applyBorder="1"/>
    <xf numFmtId="0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/>
    <xf numFmtId="187" fontId="11" fillId="0" borderId="24" xfId="0" applyNumberFormat="1" applyFont="1" applyBorder="1"/>
    <xf numFmtId="187" fontId="11" fillId="0" borderId="25" xfId="0" applyNumberFormat="1" applyFont="1" applyBorder="1"/>
    <xf numFmtId="189" fontId="11" fillId="0" borderId="26" xfId="0" applyNumberFormat="1" applyFont="1" applyBorder="1" applyProtection="1">
      <protection locked="0"/>
    </xf>
    <xf numFmtId="189" fontId="11" fillId="0" borderId="22" xfId="0" applyNumberFormat="1" applyFont="1" applyBorder="1"/>
    <xf numFmtId="187" fontId="11" fillId="0" borderId="26" xfId="0" applyNumberFormat="1" applyFont="1" applyBorder="1" applyProtection="1">
      <protection locked="0"/>
    </xf>
    <xf numFmtId="184" fontId="11" fillId="0" borderId="27" xfId="0" applyNumberFormat="1" applyFont="1" applyFill="1" applyBorder="1" applyProtection="1">
      <protection locked="0"/>
    </xf>
    <xf numFmtId="189" fontId="11" fillId="0" borderId="28" xfId="0" applyNumberFormat="1" applyFont="1" applyBorder="1" applyProtection="1">
      <protection locked="0"/>
    </xf>
    <xf numFmtId="189" fontId="11" fillId="0" borderId="28" xfId="0" applyNumberFormat="1" applyFont="1" applyBorder="1"/>
    <xf numFmtId="186" fontId="11" fillId="0" borderId="28" xfId="0" applyNumberFormat="1" applyFont="1" applyBorder="1"/>
    <xf numFmtId="0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/>
    <xf numFmtId="187" fontId="11" fillId="0" borderId="29" xfId="0" applyNumberFormat="1" applyFont="1" applyBorder="1"/>
    <xf numFmtId="187" fontId="11" fillId="0" borderId="30" xfId="0" applyNumberFormat="1" applyFont="1" applyBorder="1"/>
    <xf numFmtId="189" fontId="11" fillId="0" borderId="31" xfId="0" applyNumberFormat="1" applyFont="1" applyBorder="1" applyProtection="1">
      <protection locked="0"/>
    </xf>
    <xf numFmtId="189" fontId="11" fillId="0" borderId="32" xfId="0" applyNumberFormat="1" applyFont="1" applyBorder="1" applyProtection="1">
      <protection locked="0"/>
    </xf>
    <xf numFmtId="189" fontId="11" fillId="0" borderId="33" xfId="0" applyNumberFormat="1" applyFont="1" applyBorder="1" applyProtection="1">
      <protection locked="0"/>
    </xf>
    <xf numFmtId="49" fontId="3" fillId="0" borderId="0" xfId="0" applyNumberFormat="1" applyFont="1"/>
    <xf numFmtId="0" fontId="3" fillId="0" borderId="0" xfId="0" applyFont="1" applyBorder="1" applyAlignment="1"/>
    <xf numFmtId="0" fontId="3" fillId="0" borderId="34" xfId="0" applyFont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11" fillId="0" borderId="22" xfId="0" applyNumberFormat="1" applyFont="1" applyBorder="1"/>
    <xf numFmtId="0" fontId="11" fillId="0" borderId="25" xfId="0" applyNumberFormat="1" applyFont="1" applyBorder="1"/>
    <xf numFmtId="0" fontId="11" fillId="0" borderId="28" xfId="0" applyNumberFormat="1" applyFont="1" applyBorder="1"/>
    <xf numFmtId="0" fontId="11" fillId="0" borderId="30" xfId="0" applyNumberFormat="1" applyFont="1" applyBorder="1"/>
    <xf numFmtId="186" fontId="11" fillId="0" borderId="19" xfId="0" applyNumberFormat="1" applyFont="1" applyBorder="1" applyAlignment="1">
      <alignment horizontal="center"/>
    </xf>
    <xf numFmtId="0" fontId="3" fillId="2" borderId="15" xfId="0" applyFont="1" applyFill="1" applyBorder="1" applyAlignment="1"/>
    <xf numFmtId="189" fontId="11" fillId="0" borderId="16" xfId="0" applyNumberFormat="1" applyFont="1" applyBorder="1"/>
    <xf numFmtId="0" fontId="0" fillId="0" borderId="0" xfId="0" applyFont="1" applyFill="1" applyAlignment="1">
      <alignment horizontal="center"/>
    </xf>
    <xf numFmtId="0" fontId="3" fillId="2" borderId="17" xfId="0" applyFont="1" applyFill="1" applyBorder="1" applyAlignment="1">
      <alignment horizontal="right"/>
    </xf>
    <xf numFmtId="0" fontId="11" fillId="0" borderId="19" xfId="0" applyFont="1" applyFill="1" applyBorder="1" applyAlignment="1"/>
    <xf numFmtId="0" fontId="3" fillId="2" borderId="3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11" fillId="0" borderId="24" xfId="0" applyNumberFormat="1" applyFont="1" applyBorder="1"/>
    <xf numFmtId="0" fontId="11" fillId="0" borderId="29" xfId="0" applyNumberFormat="1" applyFont="1" applyBorder="1"/>
    <xf numFmtId="0" fontId="3" fillId="2" borderId="1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11" fillId="0" borderId="3" xfId="0" applyFont="1" applyBorder="1" applyAlignment="1"/>
    <xf numFmtId="0" fontId="11" fillId="0" borderId="4" xfId="0" applyFont="1" applyBorder="1" applyAlignment="1"/>
    <xf numFmtId="0" fontId="11" fillId="0" borderId="5" xfId="0" applyFont="1" applyBorder="1" applyAlignment="1"/>
    <xf numFmtId="49" fontId="6" fillId="3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/>
    </xf>
    <xf numFmtId="193" fontId="11" fillId="0" borderId="15" xfId="0" applyNumberFormat="1" applyFont="1" applyBorder="1" applyAlignment="1"/>
    <xf numFmtId="0" fontId="0" fillId="0" borderId="16" xfId="0" applyBorder="1" applyAlignment="1"/>
    <xf numFmtId="49" fontId="6" fillId="3" borderId="0" xfId="0" applyNumberFormat="1" applyFont="1" applyFill="1" applyAlignment="1">
      <alignment horizontal="right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report(After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6.3661977236758132</c:v>
                </c:pt>
                <c:pt idx="2">
                  <c:v>9.5174655968953417</c:v>
                </c:pt>
                <c:pt idx="3">
                  <c:v>12.732395447351626</c:v>
                </c:pt>
                <c:pt idx="4">
                  <c:v>25.464790894703253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63.661977236758133</c:v>
                </c:pt>
              </c:numCache>
            </c:numRef>
          </c:xVal>
          <c:yVal>
            <c:numRef>
              <c:f>'Results report(After corr.)'!$I$23:$I$30</c:f>
              <c:numCache>
                <c:formatCode>0.000E+00</c:formatCode>
                <c:ptCount val="8"/>
                <c:pt idx="0">
                  <c:v>0.24330352020000001</c:v>
                </c:pt>
                <c:pt idx="1">
                  <c:v>0.16993912320000001</c:v>
                </c:pt>
                <c:pt idx="2">
                  <c:v>0.13785858449999999</c:v>
                </c:pt>
                <c:pt idx="3">
                  <c:v>0.11871466151999999</c:v>
                </c:pt>
                <c:pt idx="4">
                  <c:v>8.3789196212000025E-2</c:v>
                </c:pt>
                <c:pt idx="5">
                  <c:v>6.8900543460000005E-2</c:v>
                </c:pt>
                <c:pt idx="6">
                  <c:v>6.0092406036000003E-2</c:v>
                </c:pt>
                <c:pt idx="7">
                  <c:v>5.4391228400000005E-2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B3-491C-9829-44F02B3B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2127"/>
        <c:axId val="159832607"/>
      </c:scatterChart>
      <c:valAx>
        <c:axId val="159832127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59832607"/>
        <c:crosses val="autoZero"/>
        <c:crossBetween val="midCat"/>
      </c:valAx>
      <c:valAx>
        <c:axId val="159832607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,000E+00" sourceLinked="0"/>
        <c:majorTickMark val="out"/>
        <c:minorTickMark val="none"/>
        <c:tickLblPos val="nextTo"/>
        <c:crossAx val="159832127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report(Before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6.3661977236758132</c:v>
                </c:pt>
                <c:pt idx="2">
                  <c:v>9.5174655968953417</c:v>
                </c:pt>
                <c:pt idx="3">
                  <c:v>12.732395447351626</c:v>
                </c:pt>
                <c:pt idx="4">
                  <c:v>25.464790894703253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63.661977236758133</c:v>
                </c:pt>
              </c:numCache>
            </c:numRef>
          </c:xVal>
          <c:yVal>
            <c:numRef>
              <c:f>'Results report(Before corr.)'!$I$23:$I$30</c:f>
              <c:numCache>
                <c:formatCode>0.000E+00</c:formatCode>
                <c:ptCount val="8"/>
                <c:pt idx="0">
                  <c:v>0.24246632800000004</c:v>
                </c:pt>
                <c:pt idx="1">
                  <c:v>0.16885335600000001</c:v>
                </c:pt>
                <c:pt idx="2">
                  <c:v>0.13650972139999998</c:v>
                </c:pt>
                <c:pt idx="3">
                  <c:v>0.1171454141</c:v>
                </c:pt>
                <c:pt idx="4">
                  <c:v>8.1411121919999996E-2</c:v>
                </c:pt>
                <c:pt idx="5">
                  <c:v>6.5744341740000004E-2</c:v>
                </c:pt>
                <c:pt idx="6">
                  <c:v>5.6176343100000005E-2</c:v>
                </c:pt>
                <c:pt idx="7">
                  <c:v>4.973349635000001E-2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3A-4B86-B148-EEFEAA2D2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4047"/>
        <c:axId val="159832127"/>
      </c:scatterChart>
      <c:valAx>
        <c:axId val="159834047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59832127"/>
        <c:crosses val="autoZero"/>
        <c:crossBetween val="midCat"/>
      </c:valAx>
      <c:valAx>
        <c:axId val="159832127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.000E+00" sourceLinked="0"/>
        <c:majorTickMark val="out"/>
        <c:minorTickMark val="none"/>
        <c:tickLblPos val="nextTo"/>
        <c:crossAx val="159834047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9C86CEE-97F6-79AB-11F3-CD1ABA1DB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1159355-E2A7-F752-2769-ADDD8B3CC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C0080-23D5-4D12-B59B-BBF4DF0AD0F9}">
  <dimension ref="A1:N73"/>
  <sheetViews>
    <sheetView showGridLines="0" tabSelected="1" zoomScaleNormal="100" workbookViewId="0">
      <selection activeCell="E19" sqref="E19:N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4" width="9.7109375" style="7" customWidth="1"/>
    <col min="15" max="15" width="1.7109375" style="7" customWidth="1"/>
    <col min="16" max="16384" width="9.140625" style="7"/>
  </cols>
  <sheetData>
    <row r="1" spans="1:14" s="4" customFormat="1" ht="15">
      <c r="A1" s="42" t="s">
        <v>62</v>
      </c>
      <c r="B1" s="3"/>
      <c r="N1" s="83" t="s">
        <v>61</v>
      </c>
    </row>
    <row r="2" spans="1:14" s="6" customFormat="1" ht="15.95" customHeight="1"/>
    <row r="3" spans="1:14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4" s="1" customFormat="1" ht="6" customHeight="1">
      <c r="C4" s="23"/>
      <c r="D4" s="23"/>
      <c r="E4" s="23"/>
      <c r="F4" s="23"/>
    </row>
    <row r="5" spans="1:14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4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4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4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4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4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4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4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4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4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4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4" s="1" customFormat="1" ht="12" customHeight="1"/>
    <row r="17" spans="1:14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39"/>
      <c r="J17" s="39"/>
      <c r="K17" s="39"/>
      <c r="L17" s="97" t="str">
        <f>'Measurement condition'!B23 &amp; " " &amp; 'Measurement condition'!B24</f>
        <v>05.03.2025 13:53</v>
      </c>
      <c r="M17" s="98"/>
      <c r="N17" s="98"/>
    </row>
    <row r="18" spans="1:14" s="1" customFormat="1" ht="6" customHeight="1"/>
    <row r="19" spans="1:14" s="1" customFormat="1" ht="12">
      <c r="B19" s="10" t="s">
        <v>35</v>
      </c>
      <c r="C19" s="11"/>
      <c r="D19" s="11"/>
      <c r="E19" s="94" t="str">
        <f>IF('Measurement condition'!B25="","",'Measurement condition'!B25)</f>
        <v>MRa389C_1</v>
      </c>
      <c r="F19" s="95"/>
      <c r="G19" s="95"/>
      <c r="H19" s="95"/>
      <c r="I19" s="95"/>
      <c r="J19" s="95"/>
      <c r="K19" s="95"/>
      <c r="L19" s="95"/>
      <c r="M19" s="95"/>
      <c r="N19" s="96"/>
    </row>
    <row r="20" spans="1:14" s="1" customFormat="1" ht="6" customHeight="1">
      <c r="B20" s="13"/>
      <c r="C20" s="14"/>
      <c r="D20" s="14"/>
      <c r="E20" s="72"/>
      <c r="F20" s="72"/>
      <c r="G20" s="72"/>
      <c r="H20" s="72"/>
      <c r="I20" s="72"/>
      <c r="J20" s="72"/>
      <c r="K20" s="73"/>
    </row>
    <row r="21" spans="1:14" s="1" customFormat="1" ht="24">
      <c r="B21" s="17" t="s">
        <v>31</v>
      </c>
      <c r="C21" s="18" t="s">
        <v>17</v>
      </c>
      <c r="D21" s="18" t="s">
        <v>18</v>
      </c>
      <c r="E21" s="9" t="s">
        <v>58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8" t="s">
        <v>26</v>
      </c>
      <c r="L21" s="9" t="s">
        <v>36</v>
      </c>
      <c r="M21" s="8" t="s">
        <v>38</v>
      </c>
      <c r="N21" s="87" t="s">
        <v>59</v>
      </c>
    </row>
    <row r="22" spans="1:14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75" t="s">
        <v>60</v>
      </c>
      <c r="L22" s="21" t="s">
        <v>37</v>
      </c>
      <c r="M22" s="86" t="s">
        <v>39</v>
      </c>
      <c r="N22" s="74"/>
    </row>
    <row r="23" spans="1:14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5.2889999999999997</v>
      </c>
      <c r="F23" s="50">
        <f t="shared" ref="F23:F42" si="0">users_rcf(E23)</f>
        <v>2.722</v>
      </c>
      <c r="G23" s="51" t="s">
        <v>70</v>
      </c>
      <c r="H23" s="52">
        <v>0.16900000000000001</v>
      </c>
      <c r="I23" s="53">
        <f>IF(OR(E23="",H23=""),"",H23*F23*E23*0.1)</f>
        <v>0.24330352020000001</v>
      </c>
      <c r="J23" s="54">
        <f t="shared" ref="J23:J42" si="1">IF(I23="","",1/I23)</f>
        <v>4.1100926085162328</v>
      </c>
      <c r="K23" s="54">
        <f t="shared" ref="K23:K42" si="2">IF(E23="","",$F$11/(($G$10/10)^2*PI()*(E23/10)))</f>
        <v>0.3009168899449714</v>
      </c>
      <c r="L23" s="76">
        <v>-1.33134412195952E-2</v>
      </c>
      <c r="M23" s="88">
        <v>-3.5850153572169703E-2</v>
      </c>
      <c r="N23" s="77">
        <v>0</v>
      </c>
    </row>
    <row r="24" spans="1:14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4.532</v>
      </c>
      <c r="F24" s="50">
        <f t="shared" si="0"/>
        <v>2.976</v>
      </c>
      <c r="G24" s="51" t="s">
        <v>70</v>
      </c>
      <c r="H24" s="58">
        <v>0.126</v>
      </c>
      <c r="I24" s="53">
        <f t="shared" ref="I24:I41" si="3">IF(OR(E24="",H24=""),"",H24*F24*E24*0.1)</f>
        <v>0.16993912320000001</v>
      </c>
      <c r="J24" s="54">
        <f t="shared" si="1"/>
        <v>5.8844601594366699</v>
      </c>
      <c r="K24" s="54">
        <f t="shared" si="2"/>
        <v>0.3511803686935025</v>
      </c>
      <c r="L24" s="76">
        <v>-1.33134412195952E-2</v>
      </c>
      <c r="M24" s="88">
        <v>-3.5850153572169703E-2</v>
      </c>
      <c r="N24" s="77">
        <v>0</v>
      </c>
    </row>
    <row r="25" spans="1:14" s="1" customFormat="1" ht="12" customHeight="1">
      <c r="B25" s="47">
        <v>3</v>
      </c>
      <c r="C25" s="56">
        <v>2.99</v>
      </c>
      <c r="D25" s="57">
        <f t="shared" ref="D25:D40" si="4">IF(C25="","",((C25*1000)/(($G$10/1000)^2*PI()))/1000000)</f>
        <v>9.5174655968953417</v>
      </c>
      <c r="E25" s="69">
        <v>4.165</v>
      </c>
      <c r="F25" s="50">
        <f t="shared" si="0"/>
        <v>3.105</v>
      </c>
      <c r="G25" s="51" t="s">
        <v>70</v>
      </c>
      <c r="H25" s="58">
        <v>0.1066</v>
      </c>
      <c r="I25" s="53">
        <f t="shared" si="3"/>
        <v>0.13785858449999999</v>
      </c>
      <c r="J25" s="54">
        <f>IF(I25="","",1/I25)</f>
        <v>7.2538101535490531</v>
      </c>
      <c r="K25" s="54">
        <f t="shared" si="2"/>
        <v>0.38212471330587122</v>
      </c>
      <c r="L25" s="76">
        <v>-1.33134412195952E-2</v>
      </c>
      <c r="M25" s="88">
        <v>-3.5850153572169703E-2</v>
      </c>
      <c r="N25" s="77">
        <v>0</v>
      </c>
    </row>
    <row r="26" spans="1:14" s="1" customFormat="1" ht="12">
      <c r="B26" s="47">
        <v>4</v>
      </c>
      <c r="C26" s="56">
        <v>4</v>
      </c>
      <c r="D26" s="57">
        <f t="shared" si="4"/>
        <v>12.732395447351626</v>
      </c>
      <c r="E26" s="69">
        <v>3.919</v>
      </c>
      <c r="F26" s="50">
        <f t="shared" si="0"/>
        <v>3.1920000000000002</v>
      </c>
      <c r="G26" s="51" t="s">
        <v>70</v>
      </c>
      <c r="H26" s="58">
        <v>9.4899999999999998E-2</v>
      </c>
      <c r="I26" s="53">
        <f t="shared" si="3"/>
        <v>0.11871466151999999</v>
      </c>
      <c r="J26" s="54">
        <f>IF(I26="","",1/I26)</f>
        <v>8.4235593750273967</v>
      </c>
      <c r="K26" s="54">
        <f t="shared" si="2"/>
        <v>0.40611110765985026</v>
      </c>
      <c r="L26" s="76">
        <v>-1.33134412195952E-2</v>
      </c>
      <c r="M26" s="88">
        <v>-3.5850153572169703E-2</v>
      </c>
      <c r="N26" s="77">
        <v>0</v>
      </c>
    </row>
    <row r="27" spans="1:14" s="1" customFormat="1" ht="12">
      <c r="B27" s="47">
        <v>5</v>
      </c>
      <c r="C27" s="56">
        <v>8</v>
      </c>
      <c r="D27" s="57">
        <f t="shared" si="4"/>
        <v>25.464790894703253</v>
      </c>
      <c r="E27" s="69">
        <v>3.4220000000000002</v>
      </c>
      <c r="F27" s="50">
        <f t="shared" si="0"/>
        <v>3.3620000000000001</v>
      </c>
      <c r="G27" s="51" t="s">
        <v>70</v>
      </c>
      <c r="H27" s="58">
        <v>7.2830000000000006E-2</v>
      </c>
      <c r="I27" s="53">
        <f t="shared" si="3"/>
        <v>8.3789196212000025E-2</v>
      </c>
      <c r="J27" s="54">
        <f>IF(I27="","",1/I27)</f>
        <v>11.934712889115687</v>
      </c>
      <c r="K27" s="54">
        <f t="shared" si="2"/>
        <v>0.46509334626503612</v>
      </c>
      <c r="L27" s="76">
        <v>-1.33134412195952E-2</v>
      </c>
      <c r="M27" s="88">
        <v>-3.5850153572169703E-2</v>
      </c>
      <c r="N27" s="77">
        <v>0</v>
      </c>
    </row>
    <row r="28" spans="1:14" s="1" customFormat="1" ht="12">
      <c r="B28" s="47">
        <v>6</v>
      </c>
      <c r="C28" s="56">
        <v>12</v>
      </c>
      <c r="D28" s="57">
        <f t="shared" si="4"/>
        <v>38.197186342054884</v>
      </c>
      <c r="E28" s="69">
        <v>3.165</v>
      </c>
      <c r="F28" s="50">
        <f t="shared" si="0"/>
        <v>3.444</v>
      </c>
      <c r="G28" s="51" t="s">
        <v>70</v>
      </c>
      <c r="H28" s="58">
        <v>6.3210000000000002E-2</v>
      </c>
      <c r="I28" s="53">
        <f t="shared" si="3"/>
        <v>6.8900543460000005E-2</v>
      </c>
      <c r="J28" s="54">
        <f t="shared" si="1"/>
        <v>14.513673619723289</v>
      </c>
      <c r="K28" s="54">
        <f t="shared" si="2"/>
        <v>0.50285921987960613</v>
      </c>
      <c r="L28" s="76">
        <v>-1.33134412195952E-2</v>
      </c>
      <c r="M28" s="88">
        <v>-3.5850153572169703E-2</v>
      </c>
      <c r="N28" s="77">
        <v>0</v>
      </c>
    </row>
    <row r="29" spans="1:14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2.988</v>
      </c>
      <c r="F29" s="50">
        <f t="shared" si="0"/>
        <v>3.4969999999999999</v>
      </c>
      <c r="G29" s="51" t="s">
        <v>70</v>
      </c>
      <c r="H29" s="58">
        <v>5.7509999999999999E-2</v>
      </c>
      <c r="I29" s="53">
        <f t="shared" si="3"/>
        <v>6.0092406036000003E-2</v>
      </c>
      <c r="J29" s="54">
        <f t="shared" si="1"/>
        <v>16.641037794374927</v>
      </c>
      <c r="K29" s="54">
        <f t="shared" si="2"/>
        <v>0.53264706523392014</v>
      </c>
      <c r="L29" s="76">
        <v>-1.33134412195952E-2</v>
      </c>
      <c r="M29" s="88">
        <v>-3.5850153572169703E-2</v>
      </c>
      <c r="N29" s="77">
        <v>0</v>
      </c>
    </row>
    <row r="30" spans="1:14" s="1" customFormat="1" ht="12">
      <c r="B30" s="47">
        <v>8</v>
      </c>
      <c r="C30" s="56">
        <v>20</v>
      </c>
      <c r="D30" s="57">
        <f t="shared" si="4"/>
        <v>63.661977236758133</v>
      </c>
      <c r="E30" s="69">
        <v>2.8719999999999999</v>
      </c>
      <c r="F30" s="50">
        <f t="shared" si="0"/>
        <v>3.53</v>
      </c>
      <c r="G30" s="51" t="s">
        <v>70</v>
      </c>
      <c r="H30" s="58">
        <v>5.3650000000000003E-2</v>
      </c>
      <c r="I30" s="53">
        <f t="shared" si="3"/>
        <v>5.4391228400000005E-2</v>
      </c>
      <c r="J30" s="54">
        <f t="shared" si="1"/>
        <v>18.385317438427258</v>
      </c>
      <c r="K30" s="54">
        <f t="shared" si="2"/>
        <v>0.55416066536175257</v>
      </c>
      <c r="L30" s="76">
        <v>-1.33134412195952E-2</v>
      </c>
      <c r="M30" s="88">
        <v>-3.5850153572169703E-2</v>
      </c>
      <c r="N30" s="77">
        <v>0</v>
      </c>
    </row>
    <row r="31" spans="1:14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4" t="str">
        <f t="shared" si="2"/>
        <v/>
      </c>
      <c r="L31" s="76"/>
      <c r="M31" s="88"/>
      <c r="N31" s="77"/>
    </row>
    <row r="32" spans="1:14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4" t="str">
        <f t="shared" si="2"/>
        <v/>
      </c>
      <c r="L32" s="76"/>
      <c r="M32" s="88"/>
      <c r="N32" s="77"/>
    </row>
    <row r="33" spans="2:14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4" t="str">
        <f t="shared" si="2"/>
        <v/>
      </c>
      <c r="L33" s="76"/>
      <c r="M33" s="88"/>
      <c r="N33" s="77"/>
    </row>
    <row r="34" spans="2:14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4" t="str">
        <f t="shared" si="2"/>
        <v/>
      </c>
      <c r="L34" s="76"/>
      <c r="M34" s="88"/>
      <c r="N34" s="77"/>
    </row>
    <row r="35" spans="2:14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4" t="str">
        <f t="shared" si="2"/>
        <v/>
      </c>
      <c r="L35" s="76"/>
      <c r="M35" s="88"/>
      <c r="N35" s="77"/>
    </row>
    <row r="36" spans="2:14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4" t="str">
        <f t="shared" si="2"/>
        <v/>
      </c>
      <c r="L36" s="76"/>
      <c r="M36" s="88"/>
      <c r="N36" s="77"/>
    </row>
    <row r="37" spans="2:14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4" t="str">
        <f t="shared" si="2"/>
        <v/>
      </c>
      <c r="L37" s="76"/>
      <c r="M37" s="88"/>
      <c r="N37" s="77"/>
    </row>
    <row r="38" spans="2:14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4" t="str">
        <f t="shared" si="2"/>
        <v/>
      </c>
      <c r="L38" s="76"/>
      <c r="M38" s="88"/>
      <c r="N38" s="77"/>
    </row>
    <row r="39" spans="2:14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4" t="str">
        <f t="shared" si="2"/>
        <v/>
      </c>
      <c r="L39" s="76"/>
      <c r="M39" s="88"/>
      <c r="N39" s="77"/>
    </row>
    <row r="40" spans="2:14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4" t="str">
        <f t="shared" si="2"/>
        <v/>
      </c>
      <c r="L40" s="76"/>
      <c r="M40" s="88"/>
      <c r="N40" s="77"/>
    </row>
    <row r="41" spans="2:14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4" t="str">
        <f t="shared" si="2"/>
        <v/>
      </c>
      <c r="L41" s="76"/>
      <c r="M41" s="88"/>
      <c r="N41" s="77"/>
    </row>
    <row r="42" spans="2:14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6" t="str">
        <f t="shared" si="2"/>
        <v/>
      </c>
      <c r="L42" s="78"/>
      <c r="M42" s="89"/>
      <c r="N42" s="79"/>
    </row>
    <row r="43" spans="2:14" s="1" customFormat="1" ht="12"/>
    <row r="44" spans="2:14" s="1" customFormat="1" ht="12"/>
    <row r="45" spans="2:14" s="1" customFormat="1" ht="12"/>
    <row r="46" spans="2:14" s="1" customFormat="1" ht="12"/>
    <row r="47" spans="2:14" s="1" customFormat="1" ht="12"/>
    <row r="48" spans="2:14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G21:H21"/>
    <mergeCell ref="G22:H22"/>
    <mergeCell ref="E19:N19"/>
    <mergeCell ref="L17:N17"/>
    <mergeCell ref="F11:G11"/>
  </mergeCells>
  <phoneticPr fontId="0" type="noConversion"/>
  <conditionalFormatting sqref="G23:G42">
    <cfRule type="cellIs" dxfId="1" priority="1" stopIfTrue="1" operator="notEqual">
      <formula>"OK"</formula>
    </cfRule>
  </conditionalFormatting>
  <pageMargins left="0.75" right="0.75" top="1" bottom="1" header="0.5" footer="0.5"/>
  <pageSetup paperSize="9" scale="80"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F9F8-C782-419B-BE6D-4BDE6A911BD8}">
  <sheetPr codeName="shtMain"/>
  <dimension ref="A1:Q73"/>
  <sheetViews>
    <sheetView showGridLines="0" zoomScaleNormal="100" workbookViewId="0">
      <selection activeCell="E19" sqref="E19:K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1" width="9.7109375" style="7" customWidth="1"/>
    <col min="12" max="12" width="1.7109375" style="7" customWidth="1"/>
    <col min="13" max="16384" width="9.140625" style="7"/>
  </cols>
  <sheetData>
    <row r="1" spans="1:17" s="4" customFormat="1" ht="15">
      <c r="A1" s="42" t="s">
        <v>62</v>
      </c>
      <c r="B1" s="3"/>
      <c r="K1" s="83" t="s">
        <v>61</v>
      </c>
      <c r="Q1" s="5"/>
    </row>
    <row r="2" spans="1:17" s="6" customFormat="1" ht="15.95" customHeight="1"/>
    <row r="3" spans="1:17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7" s="1" customFormat="1" ht="6" customHeight="1">
      <c r="C4" s="23"/>
      <c r="D4" s="23"/>
      <c r="E4" s="23"/>
      <c r="F4" s="23"/>
    </row>
    <row r="5" spans="1:17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7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7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7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7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7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7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7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7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7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7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7" s="1" customFormat="1" ht="12" customHeight="1"/>
    <row r="17" spans="1:11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101" t="str">
        <f>'Measurement condition'!B23 &amp; " " &amp; 'Measurement condition'!B24</f>
        <v>05.03.2025 13:53</v>
      </c>
      <c r="J17" s="98"/>
      <c r="K17" s="98"/>
    </row>
    <row r="18" spans="1:11" s="1" customFormat="1" ht="6" customHeight="1"/>
    <row r="19" spans="1:11" s="1" customFormat="1" ht="12">
      <c r="B19" s="10" t="s">
        <v>35</v>
      </c>
      <c r="C19" s="11"/>
      <c r="D19" s="12"/>
      <c r="E19" s="94" t="str">
        <f>IF('Measurement condition'!B25="","",'Measurement condition'!B25)</f>
        <v>MRa389C_1</v>
      </c>
      <c r="F19" s="95"/>
      <c r="G19" s="95"/>
      <c r="H19" s="95"/>
      <c r="I19" s="95"/>
      <c r="J19" s="95"/>
      <c r="K19" s="96"/>
    </row>
    <row r="20" spans="1:11" s="1" customFormat="1" ht="6" customHeight="1">
      <c r="B20" s="13"/>
      <c r="C20" s="14"/>
      <c r="D20" s="14"/>
      <c r="E20" s="15"/>
      <c r="F20" s="15"/>
      <c r="G20" s="15"/>
      <c r="H20" s="15"/>
      <c r="I20" s="15"/>
      <c r="J20" s="15"/>
      <c r="K20" s="16"/>
    </row>
    <row r="21" spans="1:11" s="1" customFormat="1" ht="24">
      <c r="B21" s="17" t="s">
        <v>31</v>
      </c>
      <c r="C21" s="18" t="s">
        <v>17</v>
      </c>
      <c r="D21" s="18" t="s">
        <v>18</v>
      </c>
      <c r="E21" s="18" t="s">
        <v>19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19" t="s">
        <v>26</v>
      </c>
    </row>
    <row r="22" spans="1:11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22" t="s">
        <v>60</v>
      </c>
    </row>
    <row r="23" spans="1:11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5.24</v>
      </c>
      <c r="F23" s="50">
        <f t="shared" ref="F23:F42" si="0">users_rcf(E23)</f>
        <v>2.738</v>
      </c>
      <c r="G23" s="51" t="s">
        <v>70</v>
      </c>
      <c r="H23" s="52">
        <v>0.16900000000000001</v>
      </c>
      <c r="I23" s="53">
        <f>IF(OR(E23="",H23=""),"",H23*F23*E23*0.1)</f>
        <v>0.24246632800000004</v>
      </c>
      <c r="J23" s="54">
        <f t="shared" ref="J23:J42" si="1">IF(I23="","",1/I23)</f>
        <v>4.1242840119226774</v>
      </c>
      <c r="K23" s="55">
        <f t="shared" ref="K23:K42" si="2">IF(E23="","",$F$11/(($G$10/10)^2*PI()*(E23/10)))</f>
        <v>0.3037308074272812</v>
      </c>
    </row>
    <row r="24" spans="1:11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4.47</v>
      </c>
      <c r="F24" s="50">
        <f t="shared" si="0"/>
        <v>2.9980000000000002</v>
      </c>
      <c r="G24" s="51" t="s">
        <v>70</v>
      </c>
      <c r="H24" s="58">
        <v>0.126</v>
      </c>
      <c r="I24" s="53">
        <f t="shared" ref="I24:I41" si="3">IF(OR(E24="",H24=""),"",H24*F24*E24*0.1)</f>
        <v>0.16885335600000001</v>
      </c>
      <c r="J24" s="54">
        <f t="shared" si="1"/>
        <v>5.922298636457068</v>
      </c>
      <c r="K24" s="55">
        <f t="shared" si="2"/>
        <v>0.3560513268275064</v>
      </c>
    </row>
    <row r="25" spans="1:11" s="1" customFormat="1" ht="12" customHeight="1">
      <c r="B25" s="47">
        <v>3</v>
      </c>
      <c r="C25" s="56">
        <v>2.99</v>
      </c>
      <c r="D25" s="57">
        <f t="shared" ref="D25:D40" si="4">IF(C25="","",((C25*1000)/(($G$10/1000)^2*PI()))/1000000)</f>
        <v>9.5174655968953417</v>
      </c>
      <c r="E25" s="69">
        <v>4.09</v>
      </c>
      <c r="F25" s="50">
        <f t="shared" si="0"/>
        <v>3.1309999999999998</v>
      </c>
      <c r="G25" s="51" t="s">
        <v>70</v>
      </c>
      <c r="H25" s="58">
        <v>0.1066</v>
      </c>
      <c r="I25" s="53">
        <f t="shared" si="3"/>
        <v>0.13650972139999998</v>
      </c>
      <c r="J25" s="54">
        <f>IF(I25="","",1/I25)</f>
        <v>7.3254856118987011</v>
      </c>
      <c r="K25" s="55">
        <f t="shared" si="2"/>
        <v>0.38913189020023309</v>
      </c>
    </row>
    <row r="26" spans="1:11" s="1" customFormat="1" ht="12">
      <c r="B26" s="47">
        <v>4</v>
      </c>
      <c r="C26" s="56">
        <v>4</v>
      </c>
      <c r="D26" s="57">
        <f t="shared" si="4"/>
        <v>12.732395447351626</v>
      </c>
      <c r="E26" s="69">
        <v>3.83</v>
      </c>
      <c r="F26" s="50">
        <f t="shared" si="0"/>
        <v>3.2229999999999999</v>
      </c>
      <c r="G26" s="51" t="s">
        <v>70</v>
      </c>
      <c r="H26" s="58">
        <v>9.4899999999999998E-2</v>
      </c>
      <c r="I26" s="53">
        <f t="shared" si="3"/>
        <v>0.1171454141</v>
      </c>
      <c r="J26" s="54">
        <f>IF(I26="","",1/I26)</f>
        <v>8.5363990360421624</v>
      </c>
      <c r="K26" s="55">
        <f t="shared" si="2"/>
        <v>0.41554815428693304</v>
      </c>
    </row>
    <row r="27" spans="1:11" s="1" customFormat="1" ht="12">
      <c r="B27" s="47">
        <v>5</v>
      </c>
      <c r="C27" s="56">
        <v>8</v>
      </c>
      <c r="D27" s="57">
        <f t="shared" si="4"/>
        <v>25.464790894703253</v>
      </c>
      <c r="E27" s="69">
        <v>3.28</v>
      </c>
      <c r="F27" s="50">
        <f t="shared" si="0"/>
        <v>3.4079999999999999</v>
      </c>
      <c r="G27" s="51" t="s">
        <v>70</v>
      </c>
      <c r="H27" s="58">
        <v>7.2830000000000006E-2</v>
      </c>
      <c r="I27" s="53">
        <f t="shared" si="3"/>
        <v>8.1411121919999996E-2</v>
      </c>
      <c r="J27" s="54">
        <f>IF(I27="","",1/I27)</f>
        <v>12.283333977176568</v>
      </c>
      <c r="K27" s="55">
        <f t="shared" si="2"/>
        <v>0.48522848503626637</v>
      </c>
    </row>
    <row r="28" spans="1:11" s="1" customFormat="1" ht="12">
      <c r="B28" s="47">
        <v>6</v>
      </c>
      <c r="C28" s="56">
        <v>12</v>
      </c>
      <c r="D28" s="57">
        <f t="shared" si="4"/>
        <v>38.197186342054884</v>
      </c>
      <c r="E28" s="69">
        <v>2.97</v>
      </c>
      <c r="F28" s="50">
        <f t="shared" si="0"/>
        <v>3.5019999999999998</v>
      </c>
      <c r="G28" s="51" t="s">
        <v>70</v>
      </c>
      <c r="H28" s="58">
        <v>6.3210000000000002E-2</v>
      </c>
      <c r="I28" s="53">
        <f t="shared" si="3"/>
        <v>6.5744341740000004E-2</v>
      </c>
      <c r="J28" s="54">
        <f t="shared" si="1"/>
        <v>15.21043444247587</v>
      </c>
      <c r="K28" s="55">
        <f t="shared" si="2"/>
        <v>0.5358752292656408</v>
      </c>
    </row>
    <row r="29" spans="1:11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2.74</v>
      </c>
      <c r="F29" s="50">
        <f t="shared" si="0"/>
        <v>3.5649999999999999</v>
      </c>
      <c r="G29" s="51" t="s">
        <v>70</v>
      </c>
      <c r="H29" s="58">
        <v>5.7509999999999999E-2</v>
      </c>
      <c r="I29" s="53">
        <f t="shared" si="3"/>
        <v>5.6176343100000005E-2</v>
      </c>
      <c r="J29" s="54">
        <f t="shared" si="1"/>
        <v>17.80108751863558</v>
      </c>
      <c r="K29" s="55">
        <f t="shared" si="2"/>
        <v>0.58085745653976395</v>
      </c>
    </row>
    <row r="30" spans="1:11" s="1" customFormat="1" ht="12">
      <c r="B30" s="47">
        <v>8</v>
      </c>
      <c r="C30" s="56">
        <v>20</v>
      </c>
      <c r="D30" s="57">
        <f t="shared" si="4"/>
        <v>63.661977236758133</v>
      </c>
      <c r="E30" s="69">
        <v>2.57</v>
      </c>
      <c r="F30" s="50">
        <f t="shared" si="0"/>
        <v>3.6070000000000002</v>
      </c>
      <c r="G30" s="51" t="s">
        <v>70</v>
      </c>
      <c r="H30" s="58">
        <v>5.3650000000000003E-2</v>
      </c>
      <c r="I30" s="53">
        <f t="shared" si="3"/>
        <v>4.973349635000001E-2</v>
      </c>
      <c r="J30" s="54">
        <f t="shared" si="1"/>
        <v>20.107172698305572</v>
      </c>
      <c r="K30" s="55">
        <f t="shared" si="2"/>
        <v>0.6192799342097095</v>
      </c>
    </row>
    <row r="31" spans="1:11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5" t="str">
        <f t="shared" si="2"/>
        <v/>
      </c>
    </row>
    <row r="32" spans="1:11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5" t="str">
        <f t="shared" si="2"/>
        <v/>
      </c>
    </row>
    <row r="33" spans="2:11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5" t="str">
        <f t="shared" si="2"/>
        <v/>
      </c>
    </row>
    <row r="34" spans="2:11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5" t="str">
        <f t="shared" si="2"/>
        <v/>
      </c>
    </row>
    <row r="35" spans="2:11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5" t="str">
        <f t="shared" si="2"/>
        <v/>
      </c>
    </row>
    <row r="36" spans="2:11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5" t="str">
        <f t="shared" si="2"/>
        <v/>
      </c>
    </row>
    <row r="37" spans="2:11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5" t="str">
        <f t="shared" si="2"/>
        <v/>
      </c>
    </row>
    <row r="38" spans="2:11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5" t="str">
        <f t="shared" si="2"/>
        <v/>
      </c>
    </row>
    <row r="39" spans="2:11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5" t="str">
        <f t="shared" si="2"/>
        <v/>
      </c>
    </row>
    <row r="40" spans="2:11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5" t="str">
        <f t="shared" si="2"/>
        <v/>
      </c>
    </row>
    <row r="41" spans="2:11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5" t="str">
        <f t="shared" si="2"/>
        <v/>
      </c>
    </row>
    <row r="42" spans="2:11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7" t="str">
        <f t="shared" si="2"/>
        <v/>
      </c>
    </row>
    <row r="43" spans="2:11" s="1" customFormat="1" ht="12"/>
    <row r="44" spans="2:11" s="1" customFormat="1" ht="12"/>
    <row r="45" spans="2:11" s="1" customFormat="1" ht="12"/>
    <row r="46" spans="2:11" s="1" customFormat="1" ht="12"/>
    <row r="47" spans="2:11" s="1" customFormat="1" ht="12"/>
    <row r="48" spans="2:11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I17:K17"/>
    <mergeCell ref="E19:K19"/>
    <mergeCell ref="G21:H21"/>
    <mergeCell ref="G22:H22"/>
    <mergeCell ref="F11:G11"/>
  </mergeCells>
  <phoneticPr fontId="1"/>
  <conditionalFormatting sqref="G23:G42">
    <cfRule type="cellIs" dxfId="0" priority="1" stopIfTrue="1" operator="notEqual">
      <formula>"OK"</formula>
    </cfRule>
  </conditionalFormatting>
  <pageMargins left="0.78740157480314965" right="0.59055118110236227" top="0.59055118110236227" bottom="0.59055118110236227" header="0.31496062992125984" footer="0.31496062992125984"/>
  <pageSetup paperSize="9" orientation="portrait" horizontalDpi="300" verticalDpi="300" r:id="rId1"/>
  <headerFooter alignWithMargins="0">
    <oddHeader>&amp;R&amp;9&amp;D</oddHeader>
    <oddFooter>&amp;L&amp;9&amp;F;&amp;A&amp;R&amp;9&amp;P/&amp;N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A77D7-E5BA-4A9B-92F6-07CF3462494E}">
  <sheetPr codeName="shtHed"/>
  <dimension ref="A3:B25"/>
  <sheetViews>
    <sheetView workbookViewId="0"/>
  </sheetViews>
  <sheetFormatPr baseColWidth="10" defaultColWidth="9.140625" defaultRowHeight="12"/>
  <cols>
    <col min="1" max="1" width="43.28515625" style="1" bestFit="1" customWidth="1"/>
    <col min="2" max="2" width="10.7109375" style="1" customWidth="1"/>
    <col min="3" max="16384" width="9.140625" style="1"/>
  </cols>
  <sheetData>
    <row r="3" spans="1:2">
      <c r="A3" s="1" t="s">
        <v>2</v>
      </c>
      <c r="B3" s="1">
        <v>-2</v>
      </c>
    </row>
    <row r="4" spans="1:2">
      <c r="A4" s="1" t="s">
        <v>9</v>
      </c>
      <c r="B4" s="1" t="s">
        <v>63</v>
      </c>
    </row>
    <row r="5" spans="1:2">
      <c r="A5" s="1" t="s">
        <v>47</v>
      </c>
      <c r="B5" s="1">
        <v>0.5</v>
      </c>
    </row>
    <row r="6" spans="1:2">
      <c r="A6" s="1" t="s">
        <v>48</v>
      </c>
      <c r="B6" s="1">
        <v>10</v>
      </c>
    </row>
    <row r="7" spans="1:2">
      <c r="A7" s="1" t="s">
        <v>49</v>
      </c>
      <c r="B7" s="1">
        <v>0</v>
      </c>
    </row>
    <row r="8" spans="1:2">
      <c r="A8" s="1" t="s">
        <v>50</v>
      </c>
      <c r="B8" s="1">
        <v>20</v>
      </c>
    </row>
    <row r="9" spans="1:2">
      <c r="A9" s="1" t="s">
        <v>42</v>
      </c>
      <c r="B9" s="1" t="s">
        <v>64</v>
      </c>
    </row>
    <row r="10" spans="1:2">
      <c r="A10" s="1" t="s">
        <v>51</v>
      </c>
      <c r="B10" s="1">
        <v>0.05</v>
      </c>
    </row>
    <row r="11" spans="1:2">
      <c r="A11" s="1" t="s">
        <v>52</v>
      </c>
      <c r="B11" s="1">
        <v>30</v>
      </c>
    </row>
    <row r="12" spans="1:2">
      <c r="A12" s="1" t="s">
        <v>46</v>
      </c>
      <c r="B12" s="1" t="s">
        <v>65</v>
      </c>
    </row>
    <row r="15" spans="1:2">
      <c r="A15" s="1" t="s">
        <v>4</v>
      </c>
      <c r="B15" s="1">
        <v>1</v>
      </c>
    </row>
    <row r="16" spans="1:2">
      <c r="A16" s="1" t="s">
        <v>5</v>
      </c>
      <c r="B16" s="1" t="s">
        <v>66</v>
      </c>
    </row>
    <row r="17" spans="1:2">
      <c r="A17" s="1" t="s">
        <v>53</v>
      </c>
      <c r="B17" s="1">
        <v>3</v>
      </c>
    </row>
    <row r="18" spans="1:2">
      <c r="A18" s="1" t="s">
        <v>54</v>
      </c>
      <c r="B18" s="1">
        <v>0.7</v>
      </c>
    </row>
    <row r="19" spans="1:2">
      <c r="A19" s="1" t="s">
        <v>55</v>
      </c>
      <c r="B19" s="1">
        <v>90</v>
      </c>
    </row>
    <row r="20" spans="1:2">
      <c r="A20" s="1" t="s">
        <v>56</v>
      </c>
      <c r="B20" s="1">
        <v>0</v>
      </c>
    </row>
    <row r="21" spans="1:2">
      <c r="A21" s="1" t="s">
        <v>57</v>
      </c>
      <c r="B21" s="1">
        <v>0</v>
      </c>
    </row>
    <row r="23" spans="1:2">
      <c r="A23" s="1" t="s">
        <v>6</v>
      </c>
      <c r="B23" s="71" t="s">
        <v>67</v>
      </c>
    </row>
    <row r="24" spans="1:2">
      <c r="A24" s="1" t="s">
        <v>7</v>
      </c>
      <c r="B24" s="71" t="s">
        <v>68</v>
      </c>
    </row>
    <row r="25" spans="1:2">
      <c r="A25" s="1" t="s">
        <v>8</v>
      </c>
      <c r="B25" s="2" t="s">
        <v>69</v>
      </c>
    </row>
  </sheetData>
  <phoneticPr fontId="1"/>
  <pageMargins left="0.75" right="0.75" top="1" bottom="1" header="0.51200000000000001" footer="0.5120000000000000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F18B03508894592DD79C9C38894D9" ma:contentTypeVersion="0" ma:contentTypeDescription="Create a new document." ma:contentTypeScope="" ma:versionID="cc30ab2d5e98dded8baa89b0bbc418c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ff03dde4259c08ff71d8d05c94e2e9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1F62B23-A2DB-489B-8F07-5CF2DFB8A505}"/>
</file>

<file path=customXml/itemProps2.xml><?xml version="1.0" encoding="utf-8"?>
<ds:datastoreItem xmlns:ds="http://schemas.openxmlformats.org/officeDocument/2006/customXml" ds:itemID="{67C35C67-2AFF-4A3D-BC7A-B71BBA00BB1A}"/>
</file>

<file path=customXml/itemProps3.xml><?xml version="1.0" encoding="utf-8"?>
<ds:datastoreItem xmlns:ds="http://schemas.openxmlformats.org/officeDocument/2006/customXml" ds:itemID="{44B8C2A9-FFAE-4871-868C-41BB356A3E3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Results report(After corr.)</vt:lpstr>
      <vt:lpstr>Results report(Before corr.)</vt:lpstr>
      <vt:lpstr>Measurement condition</vt:lpstr>
      <vt:lpstr>'Results report(After corr.)'!Druckbereich</vt:lpstr>
    </vt:vector>
  </TitlesOfParts>
  <Company>Nittoseiko Analytech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Powder Resistivity Analyzer (Loresta)</dc:title>
  <dc:subject>Report</dc:subject>
  <dc:creator>Nittoseiko Analytech Co., Ltd.</dc:creator>
  <dc:description>Ver. 20.0.1</dc:description>
  <cp:lastModifiedBy>Andrea Giesen</cp:lastModifiedBy>
  <cp:lastPrinted>2001-09-05T01:28:51Z</cp:lastPrinted>
  <dcterms:created xsi:type="dcterms:W3CDTF">1999-09-08T04:27:26Z</dcterms:created>
  <dcterms:modified xsi:type="dcterms:W3CDTF">2025-03-05T12:53:57Z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0x0101000BEF18B03508894592DD79C9C38894D9</vt:lpwstr>
  </property>
</Properties>
</file>