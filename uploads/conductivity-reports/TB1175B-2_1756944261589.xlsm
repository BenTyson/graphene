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5-20\"/>
    </mc:Choice>
  </mc:AlternateContent>
  <xr:revisionPtr revIDLastSave="0" documentId="8_{530754A9-2B37-4AE8-AF44-5F99F3B1D362}" xr6:coauthVersionLast="47" xr6:coauthVersionMax="47" xr10:uidLastSave="{00000000-0000-0000-0000-000000000000}"/>
  <bookViews>
    <workbookView xWindow="4245" yWindow="1710" windowWidth="17955" windowHeight="13065" xr2:uid="{104897FC-5F5E-4248-9B1D-8B5FBD7CBC66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 s="1"/>
  <c r="D30" i="3"/>
  <c r="K29" i="3"/>
  <c r="I29" i="3"/>
  <c r="J29" i="3" s="1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 s="1"/>
  <c r="K25" i="1"/>
  <c r="D26" i="1"/>
  <c r="I26" i="1"/>
  <c r="J26" i="1" s="1"/>
  <c r="K26" i="1"/>
  <c r="D27" i="1"/>
  <c r="I27" i="1"/>
  <c r="J27" i="1" s="1"/>
  <c r="K27" i="1"/>
  <c r="D28" i="1"/>
  <c r="I28" i="1"/>
  <c r="J28" i="1" s="1"/>
  <c r="K28" i="1"/>
  <c r="D29" i="1"/>
  <c r="I29" i="1"/>
  <c r="J29" i="1" s="1"/>
  <c r="K29" i="1"/>
  <c r="D30" i="1"/>
  <c r="I30" i="1"/>
  <c r="J30" i="1" s="1"/>
  <c r="K30" i="1"/>
  <c r="D31" i="1"/>
  <c r="I31" i="1"/>
  <c r="J31" i="1" s="1"/>
  <c r="K31" i="1"/>
  <c r="D32" i="1"/>
  <c r="I32" i="1"/>
  <c r="J32" i="1" s="1"/>
  <c r="K32" i="1"/>
  <c r="D33" i="1"/>
  <c r="I33" i="1"/>
  <c r="J33" i="1" s="1"/>
  <c r="K33" i="1"/>
  <c r="D34" i="1"/>
  <c r="I34" i="1"/>
  <c r="J34" i="1" s="1"/>
  <c r="K34" i="1"/>
  <c r="D35" i="1"/>
  <c r="I35" i="1"/>
  <c r="J35" i="1" s="1"/>
  <c r="K35" i="1"/>
  <c r="D36" i="1"/>
  <c r="I36" i="1"/>
  <c r="J36" i="1" s="1"/>
  <c r="K36" i="1"/>
  <c r="D37" i="1"/>
  <c r="I37" i="1"/>
  <c r="J37" i="1" s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27" i="1"/>
  <c r="F36" i="1"/>
  <c r="F23" i="1"/>
  <c r="F32" i="1"/>
  <c r="F25" i="1"/>
  <c r="F33" i="3"/>
  <c r="F24" i="3"/>
  <c r="F30" i="3"/>
  <c r="F27" i="3"/>
  <c r="F32" i="3"/>
  <c r="F35" i="1"/>
  <c r="F40" i="1"/>
  <c r="F26" i="3"/>
  <c r="F28" i="1"/>
  <c r="F42" i="1"/>
  <c r="F24" i="1"/>
  <c r="F38" i="1"/>
  <c r="F41" i="1"/>
  <c r="F29" i="3"/>
  <c r="F42" i="3"/>
  <c r="F39" i="3"/>
  <c r="F23" i="3"/>
  <c r="F28" i="3"/>
  <c r="F37" i="1"/>
  <c r="F34" i="3"/>
  <c r="F36" i="3"/>
  <c r="F33" i="1"/>
  <c r="F34" i="1"/>
  <c r="F29" i="1"/>
  <c r="F30" i="1"/>
  <c r="F39" i="1"/>
  <c r="F41" i="3"/>
  <c r="F25" i="3"/>
  <c r="F38" i="3"/>
  <c r="F35" i="3"/>
  <c r="F40" i="3"/>
  <c r="F26" i="1"/>
  <c r="F31" i="1"/>
  <c r="F37" i="3"/>
  <c r="F31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<sst xmlns="http://schemas.openxmlformats.org/spreadsheetml/2006/main" count="132" uniqueCount="71">
  <si>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</si>
  <si>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</si>
  <si>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</si>
  <si>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</si>
  <si>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</si>
  <si>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</si>
  <si>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</si>
  <si>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</si>
  <si>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</si>
  <si>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</si>
  <si>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</si>
  <si>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</si>
  <si>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</si>
  <si>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</si>
  <si>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</si>
  <si>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</si>
  <si>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</si>
  <si>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</si>
  <si>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</si>
  <si>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</si>
  <si>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</si>
  <si>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</si>
  <si>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</si>
  <si>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</si>
  <si>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</si>
  <si>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</si>
  <si>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</si>
  <si>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</si>
  <si>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</si>
  <si>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</si>
  <si>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</si>
  <si>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</si>
  <si>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</si>
  <si>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</si>
  <si>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</si>
  <si>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</si>
  <si>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</si>
  <si>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</si>
  <si>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</si>
  <si>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</si>
  <si>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</si>
  <si>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</si>
  <si>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</si>
  <si>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</si>
  <si>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</si>
  <si>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</si>
  <si>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</si>
  <si>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</si>
  <si>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</si>
  <si>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</si>
  <si>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</si>
  <si>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</si>
  <si>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</si>
  <si>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</si>
  <si>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</si>
  <si>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</si>
  <si>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</si>
  <si>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</si>
  <si>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</si>
  <si>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</si>
  <si>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</si>
  <si>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</si>
  <si>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</si>
  <si>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</si>
  <si>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</si>
  <si>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</si>
  <si>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</si>
  <si>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20.05.2025</t>
  </si>
  <si>
    <t>12:24</t>
  </si>
  <si>
    <t>TB1175B-2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</si>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</sst>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6.3343667350574346</c:v>
                </c:pt>
                <c:pt idx="2">
                  <c:v>9.5174655968953417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0.23867278349999999</c:v>
                </c:pt>
                <c:pt idx="1">
                  <c:v>0.17035054920000003</c:v>
                </c:pt>
                <c:pt idx="2">
                  <c:v>0.14012934495000004</c:v>
                </c:pt>
                <c:pt idx="3">
                  <c:v>0.12201520742400002</c:v>
                </c:pt>
                <c:pt idx="4">
                  <c:v>8.7878294928000006E-2</c:v>
                </c:pt>
                <c:pt idx="5">
                  <c:v>7.2791203620000008E-2</c:v>
                </c:pt>
                <c:pt idx="6">
                  <c:v>6.3929399423999986E-2</c:v>
                </c:pt>
                <c:pt idx="7">
                  <c:v>5.7811505472000008E-2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5-4CF3-8BC6-8815F0B1B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3872511"/>
        <c:axId val="653894111"/>
      </c:scatterChart>
      <c:valAx>
        <c:axId val="65387251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653894111"/>
        <c:crosses val="autoZero"/>
        <c:crossBetween val="midCat"/>
      </c:valAx>
      <c:valAx>
        <c:axId val="65389411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65387251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6.3343667350574346</c:v>
                </c:pt>
                <c:pt idx="2">
                  <c:v>9.5174655968953417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63.630146248139759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0.238485165</c:v>
                </c:pt>
                <c:pt idx="1">
                  <c:v>0.17018006850000003</c:v>
                </c:pt>
                <c:pt idx="2">
                  <c:v>0.13980319200000002</c:v>
                </c:pt>
                <c:pt idx="3">
                  <c:v>0.12167605120000001</c:v>
                </c:pt>
                <c:pt idx="4">
                  <c:v>8.7309228159999988E-2</c:v>
                </c:pt>
                <c:pt idx="5">
                  <c:v>7.1987865600000006E-2</c:v>
                </c:pt>
                <c:pt idx="6">
                  <c:v>6.284652512000001E-2</c:v>
                </c:pt>
                <c:pt idx="7">
                  <c:v>5.6452838399999997E-2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7-4463-98CD-51E8BC807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3883551"/>
        <c:axId val="653894591"/>
      </c:scatterChart>
      <c:valAx>
        <c:axId val="65388355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653894591"/>
        <c:crosses val="autoZero"/>
        <c:crossBetween val="midCat"/>
      </c:valAx>
      <c:valAx>
        <c:axId val="65389459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65388355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85B5852-10B3-B2A2-0D39-4F64ACB16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1442E0D-1E3A-8620-F65E-334E7320F1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3EFA-A7CD-47D3-A71B-26F54F2AC9B8}">
  <dimension ref="A1:N73"/>
  <sheetViews>
    <sheetView showGridLines="0" tabSelected="1" topLeftCell="A26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1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20.05.2025 12:24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TB1175B-2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9.2989999999999995</v>
      </c>
      <c r="F23" s="50">
        <f t="shared" ref="F23:F42" si="0">users_rcf(E23)</f>
        <v>1.7749999999999999</v>
      </c>
      <c r="G23" s="51" t="s">
        <v>70</v>
      </c>
      <c r="H23" s="52">
        <v>0.14460000000000001</v>
      </c>
      <c r="I23" s="53">
        <f>IF(OR(E23="",H23=""),"",H23*F23*E23*0.1)</f>
        <v>0.23867278349999999</v>
      </c>
      <c r="J23" s="54">
        <f t="shared" ref="J23:J42" si="1">IF(I23="","",1/I23)</f>
        <v>4.1898367519562614</v>
      </c>
      <c r="K23" s="54">
        <f t="shared" ref="K23:K42" si="2">IF(E23="","",$F$11/(($G$10/10)^2*PI()*(E23/10)))</f>
        <v>0.34230550186449155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1.99</v>
      </c>
      <c r="D24" s="57">
        <f>IF(C24="","",((C24*1000)/(($G$10/1000)^2*PI()))/1000000)</f>
        <v>6.3343667350574346</v>
      </c>
      <c r="E24" s="69">
        <v>8.2119999999999997</v>
      </c>
      <c r="F24" s="50">
        <f t="shared" si="0"/>
        <v>1.97</v>
      </c>
      <c r="G24" s="51" t="s">
        <v>70</v>
      </c>
      <c r="H24" s="58">
        <v>0.1053</v>
      </c>
      <c r="I24" s="53">
        <f t="shared" ref="I24:I41" si="3">IF(OR(E24="",H24=""),"",H24*F24*E24*0.1)</f>
        <v>0.17035054920000003</v>
      </c>
      <c r="J24" s="54">
        <f t="shared" si="1"/>
        <v>5.8702481717622765</v>
      </c>
      <c r="K24" s="54">
        <f t="shared" si="2"/>
        <v>0.38761554576691515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7.5949999999999998</v>
      </c>
      <c r="F25" s="50">
        <f t="shared" si="0"/>
        <v>2.0990000000000002</v>
      </c>
      <c r="G25" s="51" t="s">
        <v>70</v>
      </c>
      <c r="H25" s="58">
        <v>8.7900000000000006E-2</v>
      </c>
      <c r="I25" s="53">
        <f t="shared" si="3"/>
        <v>0.14012934495000004</v>
      </c>
      <c r="J25" s="54">
        <f>IF(I25="","",1/I25)</f>
        <v>7.1362640020676107</v>
      </c>
      <c r="K25" s="54">
        <f t="shared" si="2"/>
        <v>0.41910452427095551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7.1879999999999997</v>
      </c>
      <c r="F26" s="50">
        <f t="shared" si="0"/>
        <v>2.1920000000000002</v>
      </c>
      <c r="G26" s="51" t="s">
        <v>70</v>
      </c>
      <c r="H26" s="58">
        <v>7.7439999999999995E-2</v>
      </c>
      <c r="I26" s="53">
        <f t="shared" si="3"/>
        <v>0.12201520742400002</v>
      </c>
      <c r="J26" s="54">
        <f>IF(I26="","",1/I26)</f>
        <v>8.1956997091766048</v>
      </c>
      <c r="K26" s="54">
        <f t="shared" si="2"/>
        <v>0.44283512268195696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6.282</v>
      </c>
      <c r="F27" s="50">
        <f t="shared" si="0"/>
        <v>2.4239999999999999</v>
      </c>
      <c r="G27" s="51" t="s">
        <v>70</v>
      </c>
      <c r="H27" s="58">
        <v>5.7709999999999997E-2</v>
      </c>
      <c r="I27" s="53">
        <f t="shared" si="3"/>
        <v>8.7878294928000006E-2</v>
      </c>
      <c r="J27" s="54">
        <f>IF(I27="","",1/I27)</f>
        <v>11.379374176744268</v>
      </c>
      <c r="K27" s="54">
        <f t="shared" si="2"/>
        <v>0.50670150618241117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5.7949999999999999</v>
      </c>
      <c r="F28" s="50">
        <f t="shared" si="0"/>
        <v>2.5640000000000001</v>
      </c>
      <c r="G28" s="51" t="s">
        <v>70</v>
      </c>
      <c r="H28" s="58">
        <v>4.8989999999999999E-2</v>
      </c>
      <c r="I28" s="53">
        <f t="shared" si="3"/>
        <v>7.2791203620000008E-2</v>
      </c>
      <c r="J28" s="54">
        <f t="shared" si="1"/>
        <v>13.737923681279003</v>
      </c>
      <c r="K28" s="54">
        <f t="shared" si="2"/>
        <v>0.54928366899705039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5.4779999999999998</v>
      </c>
      <c r="F29" s="50">
        <f t="shared" si="0"/>
        <v>2.6619999999999999</v>
      </c>
      <c r="G29" s="51" t="s">
        <v>70</v>
      </c>
      <c r="H29" s="58">
        <v>4.3839999999999997E-2</v>
      </c>
      <c r="I29" s="53">
        <f t="shared" si="3"/>
        <v>6.3929399423999986E-2</v>
      </c>
      <c r="J29" s="54">
        <f t="shared" si="1"/>
        <v>15.642255503883025</v>
      </c>
      <c r="K29" s="54">
        <f t="shared" si="2"/>
        <v>0.58106952570973114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5.2309999999999999</v>
      </c>
      <c r="F30" s="50">
        <f t="shared" si="0"/>
        <v>2.7410000000000001</v>
      </c>
      <c r="G30" s="51" t="s">
        <v>70</v>
      </c>
      <c r="H30" s="58">
        <v>4.0320000000000002E-2</v>
      </c>
      <c r="I30" s="53">
        <f t="shared" si="3"/>
        <v>5.7811505472000008E-2</v>
      </c>
      <c r="J30" s="54">
        <f t="shared" si="1"/>
        <v>17.297594861706767</v>
      </c>
      <c r="K30" s="54">
        <f t="shared" si="2"/>
        <v>0.60850676005312687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5DD9A-C0B3-4621-9EE9-6ADFE35C1746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1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20.05.2025 12:24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TB1175B-2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9.25</v>
      </c>
      <c r="F23" s="50">
        <f t="shared" ref="F23:F42" si="0">users_rcf(E23)</f>
        <v>1.7829999999999999</v>
      </c>
      <c r="G23" s="51" t="s">
        <v>70</v>
      </c>
      <c r="H23" s="52">
        <v>0.14460000000000001</v>
      </c>
      <c r="I23" s="53">
        <f>IF(OR(E23="",H23=""),"",H23*F23*E23*0.1)</f>
        <v>0.238485165</v>
      </c>
      <c r="J23" s="54">
        <f t="shared" ref="J23:J42" si="1">IF(I23="","",1/I23)</f>
        <v>4.1931329355433915</v>
      </c>
      <c r="K23" s="55">
        <f t="shared" ref="K23:K42" si="2">IF(E23="","",$F$11/(($G$10/10)^2*PI()*(E23/10)))</f>
        <v>0.34411879587436833</v>
      </c>
    </row>
    <row r="24" spans="1:11" s="1" customFormat="1" ht="12">
      <c r="B24" s="47">
        <v>2</v>
      </c>
      <c r="C24" s="56">
        <v>1.99</v>
      </c>
      <c r="D24" s="57">
        <f>IF(C24="","",((C24*1000)/(($G$10/1000)^2*PI()))/1000000)</f>
        <v>6.3343667350574346</v>
      </c>
      <c r="E24" s="69">
        <v>8.15</v>
      </c>
      <c r="F24" s="50">
        <f t="shared" si="0"/>
        <v>1.9830000000000001</v>
      </c>
      <c r="G24" s="51" t="s">
        <v>70</v>
      </c>
      <c r="H24" s="58">
        <v>0.1053</v>
      </c>
      <c r="I24" s="53">
        <f t="shared" ref="I24:I41" si="3">IF(OR(E24="",H24=""),"",H24*F24*E24*0.1)</f>
        <v>0.17018006850000003</v>
      </c>
      <c r="J24" s="54">
        <f t="shared" si="1"/>
        <v>5.8761287900174972</v>
      </c>
      <c r="K24" s="55">
        <f t="shared" si="2"/>
        <v>0.39056427752612349</v>
      </c>
    </row>
    <row r="25" spans="1:11" s="1" customFormat="1" ht="12" customHeight="1">
      <c r="B25" s="47">
        <v>3</v>
      </c>
      <c r="C25" s="56">
        <v>2.99</v>
      </c>
      <c r="D25" s="57">
        <f t="shared" ref="D25:D40" si="4">IF(C25="","",((C25*1000)/(($G$10/1000)^2*PI()))/1000000)</f>
        <v>9.5174655968953417</v>
      </c>
      <c r="E25" s="69">
        <v>7.52</v>
      </c>
      <c r="F25" s="50">
        <f t="shared" si="0"/>
        <v>2.1150000000000002</v>
      </c>
      <c r="G25" s="51" t="s">
        <v>70</v>
      </c>
      <c r="H25" s="58">
        <v>8.7900000000000006E-2</v>
      </c>
      <c r="I25" s="53">
        <f t="shared" si="3"/>
        <v>0.13980319200000002</v>
      </c>
      <c r="J25" s="54">
        <f>IF(I25="","",1/I25)</f>
        <v>7.1529125028847682</v>
      </c>
      <c r="K25" s="55">
        <f t="shared" si="2"/>
        <v>0.42328442311674291</v>
      </c>
    </row>
    <row r="26" spans="1:11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7.1</v>
      </c>
      <c r="F26" s="50">
        <f t="shared" si="0"/>
        <v>2.2130000000000001</v>
      </c>
      <c r="G26" s="51" t="s">
        <v>70</v>
      </c>
      <c r="H26" s="58">
        <v>7.7439999999999995E-2</v>
      </c>
      <c r="I26" s="53">
        <f t="shared" si="3"/>
        <v>0.12167605120000001</v>
      </c>
      <c r="J26" s="54">
        <f>IF(I26="","",1/I26)</f>
        <v>8.2185441599866778</v>
      </c>
      <c r="K26" s="55">
        <f t="shared" si="2"/>
        <v>0.44832378335745171</v>
      </c>
    </row>
    <row r="27" spans="1:11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6.14</v>
      </c>
      <c r="F27" s="50">
        <f t="shared" si="0"/>
        <v>2.464</v>
      </c>
      <c r="G27" s="51" t="s">
        <v>70</v>
      </c>
      <c r="H27" s="58">
        <v>5.7709999999999997E-2</v>
      </c>
      <c r="I27" s="53">
        <f t="shared" si="3"/>
        <v>8.7309228159999988E-2</v>
      </c>
      <c r="J27" s="54">
        <f>IF(I27="","",1/I27)</f>
        <v>11.45354301114005</v>
      </c>
      <c r="K27" s="55">
        <f t="shared" si="2"/>
        <v>0.51842001007132033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5.6</v>
      </c>
      <c r="F28" s="50">
        <f t="shared" si="0"/>
        <v>2.6240000000000001</v>
      </c>
      <c r="G28" s="51" t="s">
        <v>70</v>
      </c>
      <c r="H28" s="58">
        <v>4.8989999999999999E-2</v>
      </c>
      <c r="I28" s="53">
        <f t="shared" si="3"/>
        <v>7.1987865600000006E-2</v>
      </c>
      <c r="J28" s="54">
        <f t="shared" si="1"/>
        <v>13.891230024188964</v>
      </c>
      <c r="K28" s="55">
        <f t="shared" si="2"/>
        <v>0.56841051104248341</v>
      </c>
    </row>
    <row r="29" spans="1:11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5.23</v>
      </c>
      <c r="F29" s="50">
        <f t="shared" si="0"/>
        <v>2.7410000000000001</v>
      </c>
      <c r="G29" s="51" t="s">
        <v>70</v>
      </c>
      <c r="H29" s="58">
        <v>4.3839999999999997E-2</v>
      </c>
      <c r="I29" s="53">
        <f t="shared" si="3"/>
        <v>6.284652512000001E-2</v>
      </c>
      <c r="J29" s="54">
        <f t="shared" si="1"/>
        <v>15.911778703605114</v>
      </c>
      <c r="K29" s="55">
        <f t="shared" si="2"/>
        <v>0.60862310933803188</v>
      </c>
    </row>
    <row r="30" spans="1:11" s="1" customFormat="1" ht="12">
      <c r="B30" s="47">
        <v>8</v>
      </c>
      <c r="C30" s="56">
        <v>19.989999999999998</v>
      </c>
      <c r="D30" s="57">
        <f t="shared" si="4"/>
        <v>63.630146248139759</v>
      </c>
      <c r="E30" s="69">
        <v>4.93</v>
      </c>
      <c r="F30" s="50">
        <f t="shared" si="0"/>
        <v>2.84</v>
      </c>
      <c r="G30" s="51" t="s">
        <v>70</v>
      </c>
      <c r="H30" s="58">
        <v>4.0320000000000002E-2</v>
      </c>
      <c r="I30" s="53">
        <f t="shared" si="3"/>
        <v>5.6452838399999997E-2</v>
      </c>
      <c r="J30" s="54">
        <f t="shared" si="1"/>
        <v>17.713901166748066</v>
      </c>
      <c r="K30" s="55">
        <f t="shared" si="2"/>
        <v>0.64565899834440299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53296-DE6C-420F-90E3-F3B80C892ECE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1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388EB3-3678-464A-AA46-D13986F6060D}"/>
</file>

<file path=customXml/itemProps2.xml><?xml version="1.0" encoding="utf-8"?>
<ds:datastoreItem xmlns:ds="http://schemas.openxmlformats.org/officeDocument/2006/customXml" ds:itemID="{CC19D8A0-76EB-47CD-B04B-8B8610CFECF1}"/>
</file>

<file path=customXml/itemProps3.xml><?xml version="1.0" encoding="utf-8"?>
<ds:datastoreItem xmlns:ds="http://schemas.openxmlformats.org/officeDocument/2006/customXml" ds:itemID="{A965969C-638D-4408-8FB8-8D1992DA26D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2025-05-20T10:24:37Z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